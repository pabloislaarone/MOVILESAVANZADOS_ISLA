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rámetros" sheetId="1" state="visible" r:id="rId3"/>
    <sheet name="Boleta" sheetId="2" state="visible" r:id="rId4"/>
    <sheet name="Casos" sheetId="3" state="visible" r:id="rId5"/>
    <sheet name="Explicación" sheetId="4" state="visible" r:id="rId6"/>
  </sheets>
  <definedNames>
    <definedName function="false" hidden="false" name="AsigFam" vbProcedure="false">Parámetros!$B$6</definedName>
    <definedName function="false" hidden="false" name="DiasMes" vbProcedure="false">Parámetros!$B$7</definedName>
    <definedName function="false" hidden="false" name="FactorHE25" vbProcedure="false">Parámetros!$B$9</definedName>
    <definedName function="false" hidden="false" name="FactorHE35" vbProcedure="false">Parámetros!$B$10</definedName>
    <definedName function="false" hidden="false" name="HorasDia" vbProcedure="false">Parámetros!$B$8</definedName>
    <definedName function="false" hidden="false" name="ListaAFP" vbProcedure="false">Parámetros!$A$17:$A$21</definedName>
    <definedName function="false" hidden="false" name="PorcAsig" vbProcedure="false">Parámetros!$B$5</definedName>
    <definedName function="false" hidden="false" name="RMV" vbProcedure="false">Parámetros!$B$4</definedName>
    <definedName function="false" hidden="false" name="TablaAFP" vbProcedure="false">Parámetros!$A$17:$D$21</definedName>
    <definedName function="false" hidden="false" name="TasaEsSalud" vbProcedure="false">Parámetros!$B$12</definedName>
    <definedName function="false" hidden="false" name="TasaONP" vbProcedure="false">Parámetros!$B$11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4" authorId="0">
      <text>
        <r>
          <rPr>
            <sz val="10"/>
            <rFont val="Arial"/>
            <family val="2"/>
          </rPr>
          <t xml:space="preserve">Valores que da la clase Boleta (ver BoletaPagoTests.swift). Confírmalos con la captura del simulador al correr la app.</t>
        </r>
      </text>
    </comment>
  </commentList>
</comments>
</file>

<file path=xl/sharedStrings.xml><?xml version="1.0" encoding="utf-8"?>
<sst xmlns="http://schemas.openxmlformats.org/spreadsheetml/2006/main" count="309" uniqueCount="202">
  <si>
    <t xml:space="preserve">Parámetros del cálculo (un solo lugar: las fórmulas solo los leen)</t>
  </si>
  <si>
    <t xml:space="preserve">Celdas en azul = valores que se escriben a mano. Si cambia una ley o una tasa, se cambia SOLO aquí.</t>
  </si>
  <si>
    <t xml:space="preserve">Parámetro</t>
  </si>
  <si>
    <t xml:space="preserve">Valor</t>
  </si>
  <si>
    <t xml:space="preserve">Fuente</t>
  </si>
  <si>
    <t xml:space="preserve">Fecha de consulta</t>
  </si>
  <si>
    <t xml:space="preserve">RMV (S/)</t>
  </si>
  <si>
    <t xml:space="preserve">D.S. N.º 015-2026-TR (El Peruano, 28/09/2026), vigente desde el 01/10/2026</t>
  </si>
  <si>
    <t xml:space="preserve">28/10/2026</t>
  </si>
  <si>
    <t xml:space="preserve">% asignación familiar</t>
  </si>
  <si>
    <t xml:space="preserve">Ley 25129</t>
  </si>
  <si>
    <t xml:space="preserve">Asignación familiar (S/)</t>
  </si>
  <si>
    <t xml:space="preserve">Calculado: RMV × 10%</t>
  </si>
  <si>
    <t xml:space="preserve">Días del mes</t>
  </si>
  <si>
    <t xml:space="preserve">Convención del enunciado (mes comercial de 30 días)</t>
  </si>
  <si>
    <t xml:space="preserve">Horas por día</t>
  </si>
  <si>
    <t xml:space="preserve">Jornada ordinaria de 8 horas</t>
  </si>
  <si>
    <t xml:space="preserve">Factor horas extras 25%</t>
  </si>
  <si>
    <t xml:space="preserve">Normas de jornada y sobretiempo (primeras horas)</t>
  </si>
  <si>
    <t xml:space="preserve">Factor horas extras 35%</t>
  </si>
  <si>
    <t xml:space="preserve">Normas de jornada y sobretiempo (horas siguientes)</t>
  </si>
  <si>
    <t xml:space="preserve">Tasa ONP</t>
  </si>
  <si>
    <t xml:space="preserve">D.L. 19990</t>
  </si>
  <si>
    <t xml:space="preserve">Tasa EsSalud (empleador)</t>
  </si>
  <si>
    <t xml:space="preserve">Ley 26790</t>
  </si>
  <si>
    <t xml:space="preserve">Tasas de AFP (sobre el total de remuneraciones)</t>
  </si>
  <si>
    <t xml:space="preserve">AFP</t>
  </si>
  <si>
    <t xml:space="preserve">Fondo</t>
  </si>
  <si>
    <t xml:space="preserve">Comisión</t>
  </si>
  <si>
    <t xml:space="preserve">Seguro</t>
  </si>
  <si>
    <t xml:space="preserve">AFP Ejemplo</t>
  </si>
  <si>
    <t xml:space="preserve">Enunciado del tema (solo para los casos de prueba)</t>
  </si>
  <si>
    <t xml:space="preserve">Habitat</t>
  </si>
  <si>
    <t xml:space="preserve">SBS, comisión sobre flujo y prima de seguros, devengue oct-2026</t>
  </si>
  <si>
    <t xml:space="preserve">Integra</t>
  </si>
  <si>
    <t xml:space="preserve">Prima</t>
  </si>
  <si>
    <t xml:space="preserve">Profuturo</t>
  </si>
  <si>
    <t xml:space="preserve">Nota: las tasas reales corresponden a la comisión sobre flujo. Un afiliado con comisión mixta paga 0% sobre flujo (cobra sobre saldo), así que en un caso real se confirma el esquema del trabajador.</t>
  </si>
  <si>
    <t xml:space="preserve">Boleta de ejemplo — cálculo del mes</t>
  </si>
  <si>
    <t xml:space="preserve">Escribe solo en las celdas amarillas. Todo lo demás son fórmulas (columna D muestra la fórmula de cada monto).</t>
  </si>
  <si>
    <t xml:space="preserve">Empresa: Comercial Andina Ejemplo S.A.C. · RUC 20000000000 (ficticio)</t>
  </si>
  <si>
    <t xml:space="preserve">Dato de entrada</t>
  </si>
  <si>
    <t xml:space="preserve">Regla</t>
  </si>
  <si>
    <t xml:space="preserve">Nombre del trabajador</t>
  </si>
  <si>
    <t xml:space="preserve">Trabajador de ejemplo</t>
  </si>
  <si>
    <t xml:space="preserve">Ficticio</t>
  </si>
  <si>
    <t xml:space="preserve">Sueldo básico (S/)</t>
  </si>
  <si>
    <t xml:space="preserve">Mayor que cero</t>
  </si>
  <si>
    <t xml:space="preserve">Días laborados</t>
  </si>
  <si>
    <t xml:space="preserve">Entero entre 1 y 30</t>
  </si>
  <si>
    <t xml:space="preserve">¿Tiene hijos?</t>
  </si>
  <si>
    <t xml:space="preserve">Sí</t>
  </si>
  <si>
    <t xml:space="preserve">No / Sí</t>
  </si>
  <si>
    <t xml:space="preserve">Sistema de pensiones</t>
  </si>
  <si>
    <t xml:space="preserve">ONP / AFP</t>
  </si>
  <si>
    <t xml:space="preserve">Solo se usa si el sistema es AFP</t>
  </si>
  <si>
    <t xml:space="preserve">Horas extras al 25%</t>
  </si>
  <si>
    <t xml:space="preserve">Mayor o igual a cero</t>
  </si>
  <si>
    <t xml:space="preserve">Horas extras al 35%</t>
  </si>
  <si>
    <t xml:space="preserve">Adelantos (S/)</t>
  </si>
  <si>
    <t xml:space="preserve">Validación</t>
  </si>
  <si>
    <t xml:space="preserve">Bloque</t>
  </si>
  <si>
    <t xml:space="preserve">Concepto</t>
  </si>
  <si>
    <t xml:space="preserve">Monto (S/)</t>
  </si>
  <si>
    <t xml:space="preserve">Fórmula de la celda C</t>
  </si>
  <si>
    <t xml:space="preserve">En palabras</t>
  </si>
  <si>
    <t xml:space="preserve">REMUNERACIONES</t>
  </si>
  <si>
    <t xml:space="preserve">Sueldo computable</t>
  </si>
  <si>
    <t xml:space="preserve">Sueldo básico ÷ 30 × días laborados</t>
  </si>
  <si>
    <t xml:space="preserve">Asignación familiar</t>
  </si>
  <si>
    <t xml:space="preserve">Si tiene hijos, 10% de la RMV. No depende de los días</t>
  </si>
  <si>
    <t xml:space="preserve">Valor hora (dato intermedio)</t>
  </si>
  <si>
    <t xml:space="preserve">Sueldo básico ÷ 30 ÷ 8. No va en la boleta ni se redondea</t>
  </si>
  <si>
    <t xml:space="preserve">Horas extras 25%</t>
  </si>
  <si>
    <t xml:space="preserve">Valor hora × 1.25 × horas al 25%</t>
  </si>
  <si>
    <t xml:space="preserve">Horas extras 35%</t>
  </si>
  <si>
    <t xml:space="preserve">Valor hora × 1.35 × horas al 35%</t>
  </si>
  <si>
    <t xml:space="preserve">Total remuneraciones</t>
  </si>
  <si>
    <t xml:space="preserve">Suma de los conceptos (sin el valor hora)</t>
  </si>
  <si>
    <t xml:space="preserve">RETENCIONES / DESCUENTOS</t>
  </si>
  <si>
    <t xml:space="preserve">ONP (13%)</t>
  </si>
  <si>
    <t xml:space="preserve">Si está en ONP: 13% del total de remuneraciones</t>
  </si>
  <si>
    <t xml:space="preserve">AFP fondo</t>
  </si>
  <si>
    <t xml:space="preserve">Si está en AFP: total de remuneraciones × % de fondo de su AFP</t>
  </si>
  <si>
    <t xml:space="preserve">AFP comisión</t>
  </si>
  <si>
    <t xml:space="preserve">Si está en AFP: total de remuneraciones × % de comisión de su AFP</t>
  </si>
  <si>
    <t xml:space="preserve">AFP seguro</t>
  </si>
  <si>
    <t xml:space="preserve">Si está en AFP: total de remuneraciones × % de seguro de su AFP</t>
  </si>
  <si>
    <t xml:space="preserve">Adelantos</t>
  </si>
  <si>
    <t xml:space="preserve">Se resta tal cual se ingresó</t>
  </si>
  <si>
    <t xml:space="preserve">Total descuentos</t>
  </si>
  <si>
    <t xml:space="preserve">Pensión (ONP o AFP) + adelantos</t>
  </si>
  <si>
    <t xml:space="preserve">NETO</t>
  </si>
  <si>
    <t xml:space="preserve">NETO A PAGAR</t>
  </si>
  <si>
    <t xml:space="preserve">Total remuneraciones − total descuentos</t>
  </si>
  <si>
    <t xml:space="preserve">APORTACIONES DEL EMPLEADOR</t>
  </si>
  <si>
    <t xml:space="preserve">EsSalud (9%)</t>
  </si>
  <si>
    <t xml:space="preserve">9% del total de remuneraciones. Lo paga la empresa, no se descuenta</t>
  </si>
  <si>
    <t xml:space="preserve">EXTRA (análisis)</t>
  </si>
  <si>
    <t xml:space="preserve">Costo total para la empresa</t>
  </si>
  <si>
    <t xml:space="preserve">Total remuneraciones + EsSalud</t>
  </si>
  <si>
    <t xml:space="preserve">% del bruto que llega como neto</t>
  </si>
  <si>
    <t xml:space="preserve">Neto ÷ total remuneraciones</t>
  </si>
  <si>
    <t xml:space="preserve">Casos de prueba y casos propios (misma lógica que la hoja Boleta, una columna por caso)</t>
  </si>
  <si>
    <t xml:space="preserve">Amarillo = datos de entrada. Las columnas 'Propio' son para el caso real de cada participante: pon el sueldo de una oferta laboral publicada (≥ RMV) y anota el enlace y la fecha abajo.</t>
  </si>
  <si>
    <t xml:space="preserve">Caso 1</t>
  </si>
  <si>
    <t xml:space="preserve">Caso 2</t>
  </si>
  <si>
    <t xml:space="preserve">Caso 3</t>
  </si>
  <si>
    <t xml:space="preserve">Caso 4 (evaluación)</t>
  </si>
  <si>
    <t xml:space="preserve">P1: caso 3 con ONP</t>
  </si>
  <si>
    <t xml:space="preserve">P3: caso 2 con 30 días</t>
  </si>
  <si>
    <t xml:space="preserve">Propio · participante 1</t>
  </si>
  <si>
    <t xml:space="preserve">Propio · participante 2</t>
  </si>
  <si>
    <t xml:space="preserve">No</t>
  </si>
  <si>
    <t xml:space="preserve">Sistema</t>
  </si>
  <si>
    <t xml:space="preserve">ONP</t>
  </si>
  <si>
    <t xml:space="preserve">Cálculo</t>
  </si>
  <si>
    <t xml:space="preserve">Valor hora</t>
  </si>
  <si>
    <t xml:space="preserve">EsSalud (empleador)</t>
  </si>
  <si>
    <t xml:space="preserve">Costo para la empresa</t>
  </si>
  <si>
    <t xml:space="preserve">Control cruzado</t>
  </si>
  <si>
    <t xml:space="preserve">Neto según el enunciado</t>
  </si>
  <si>
    <t xml:space="preserve">Lo revisa el docente</t>
  </si>
  <si>
    <t xml:space="preserve">Diferencia Excel − enunciado</t>
  </si>
  <si>
    <t xml:space="preserve">Neto que muestra la app</t>
  </si>
  <si>
    <t xml:space="preserve">Diferencia Excel − app</t>
  </si>
  <si>
    <t xml:space="preserve">Fuente de los casos propios</t>
  </si>
  <si>
    <t xml:space="preserve">Participante</t>
  </si>
  <si>
    <t xml:space="preserve">Puesto / empresa de la oferta</t>
  </si>
  <si>
    <t xml:space="preserve">Sueldo (S/)</t>
  </si>
  <si>
    <t xml:space="preserve">Enlace</t>
  </si>
  <si>
    <t xml:space="preserve">Participante 1</t>
  </si>
  <si>
    <t xml:space="preserve">Participante 2</t>
  </si>
  <si>
    <t xml:space="preserve">Cómo se calcula la boleta, explicado para alguien que no sabe contabilidad</t>
  </si>
  <si>
    <t xml:space="preserve">Ejemplo numérico: Caso 3 (sueldo S/ 3,000, 30 días, con hijos, AFP Ejemplo, 4 h al 25%, 4 h al 35%, adelanto S/ 200). Regla general: cada concepto se redondea a 2 decimales y después se suman.</t>
  </si>
  <si>
    <t xml:space="preserve">La fórmula en palabras</t>
  </si>
  <si>
    <t xml:space="preserve">Fórmula en Excel (hoja Boleta)</t>
  </si>
  <si>
    <t xml:space="preserve">Ejemplo con el caso 3</t>
  </si>
  <si>
    <t xml:space="preserve">Resultado (S/)</t>
  </si>
  <si>
    <t xml:space="preserve">Lo que te toca del sueldo según los días que trabajaste. El mes se cuenta como de 30 días: divides el sueldo entre 30 para saber cuánto vale un día y lo multiplicas por los días laborados.</t>
  </si>
  <si>
    <t xml:space="preserve">3,000 ÷ 30 × 30</t>
  </si>
  <si>
    <t xml:space="preserve">Un monto fijo que recibe quien tiene hijos: el 10% del sueldo mínimo (RMV). No baja aunque faltes días.</t>
  </si>
  <si>
    <t xml:space="preserve">10% × 1,230</t>
  </si>
  <si>
    <t xml:space="preserve">Cuánto vale una hora normal de trabajo: sueldo entre 30 días y entre 8 horas. Solo sirve para calcular las horas extras; no aparece en la boleta.</t>
  </si>
  <si>
    <t xml:space="preserve">3,000 ÷ 30 ÷ 8</t>
  </si>
  <si>
    <t xml:space="preserve">Las primeras horas extra se pagan un 25% más caras que una hora normal: valor hora × 1.25 × número de horas.</t>
  </si>
  <si>
    <t xml:space="preserve">12.50 × 1.25 × 4</t>
  </si>
  <si>
    <t xml:space="preserve">Las horas extra siguientes se pagan un 35% más caras: valor hora × 1.35 × número de horas.</t>
  </si>
  <si>
    <t xml:space="preserve">12.50 × 1.35 × 4</t>
  </si>
  <si>
    <t xml:space="preserve">Todo lo que ganaste en el mes antes de descuentos (el bruto).</t>
  </si>
  <si>
    <t xml:space="preserve">3,000 + 123 + 62.50 + 67.50</t>
  </si>
  <si>
    <t xml:space="preserve">Si estás en la ONP, el Estado te retiene el 13% del bruto para tu pensión.</t>
  </si>
  <si>
    <t xml:space="preserve">No aplica (está en AFP)</t>
  </si>
  <si>
    <t xml:space="preserve">Si estás en AFP, el 10% del bruto va a tu cuenta personal de jubilación.</t>
  </si>
  <si>
    <t xml:space="preserve">3,253 × 10%</t>
  </si>
  <si>
    <t xml:space="preserve">Lo que cobra la AFP por administrar tu dinero: un % del bruto (varía por AFP).</t>
  </si>
  <si>
    <t xml:space="preserve">3,253 × 1.60% = 52.048</t>
  </si>
  <si>
    <t xml:space="preserve">Un seguro de invalidez y sobrevivencia: otro % del bruto.</t>
  </si>
  <si>
    <t xml:space="preserve">3,253 × 1.35% = 43.9155</t>
  </si>
  <si>
    <t xml:space="preserve">Dinero que ya te dieron antes en el mes; se resta tal cual.</t>
  </si>
  <si>
    <t xml:space="preserve">200</t>
  </si>
  <si>
    <t xml:space="preserve">La pensión (ONP o AFP) más los adelantos.</t>
  </si>
  <si>
    <t xml:space="preserve">325.30 + 52.05 + 43.92 + 200</t>
  </si>
  <si>
    <t xml:space="preserve">Neto a pagar</t>
  </si>
  <si>
    <t xml:space="preserve">Lo que realmente llega a tu cuenta: bruto menos descuentos.</t>
  </si>
  <si>
    <t xml:space="preserve">3,253.00 − 621.27</t>
  </si>
  <si>
    <t xml:space="preserve">EsSalud</t>
  </si>
  <si>
    <t xml:space="preserve">Seguro de salud que paga la empresa aparte: 9% del bruto. NO se le quita al trabajador.</t>
  </si>
  <si>
    <t xml:space="preserve">3,253 × 9% = 292.77</t>
  </si>
  <si>
    <t xml:space="preserve">Preguntas de análisis</t>
  </si>
  <si>
    <t xml:space="preserve">Pregunta</t>
  </si>
  <si>
    <t xml:space="preserve">Respuesta</t>
  </si>
  <si>
    <t xml:space="preserve">Dato clave (calculado)</t>
  </si>
  <si>
    <t xml:space="preserve">1. ONP o AFP (caso 3)</t>
  </si>
  <si>
    <t xml:space="preserve">Con ONP el neto sería S/ 2,630.11 y con AFP Ejemplo S/ 2,631.73: la AFP deja S/ 1.62 más este mes, porque su descuento total (12.95%) es un poco menor que el 13% de la ONP. Pero comparar porcentajes no basta: en la AFP el 10% del fondo es ahorro propio que se queda en tu cuenta y rinde (o pierde) según el mercado, mientras que en la ONP va a un fondo común y la pensión depende de cumplir los años de aportes. Además la comisión y el seguro cambian según la AFP. Lo que conviene depende de cuántos años vas a aportar, tu edad y la rentabilidad, no del descuento de un mes.</t>
  </si>
  <si>
    <t xml:space="preserve">2. Costo real para la empresa (caso 3)</t>
  </si>
  <si>
    <t xml:space="preserve">La empresa paga S/ 3,253.00 de remuneraciones más S/ 292.77 de EsSalud: el trabajador le cuesta S/ 3,545.77. De ese costo, el neto de S/ 2,631.73 es el 74.22%. Si sumamos el adelanto de S/ 200 que ya recibió durante el mes, le llega en total el 79.86%.</t>
  </si>
  <si>
    <t xml:space="preserve">3. Días laborados (caso 2)</t>
  </si>
  <si>
    <t xml:space="preserve">Con 30 días el neto sería S/ 1,673.01 en vez de S/ 1,516.41: sube S/ 156.60. El bruto, en cambio, sube S/ 180 (3 días de sueldo). La diferencia en el neto es menor porque la ONP se queda con el 13% de esos S/ 180 (180 × 0.87 = 156.60). La asignación familiar no cambia porque no se prorratea por días.</t>
  </si>
  <si>
    <t xml:space="preserve">4. Horas extras (caso 3)</t>
  </si>
  <si>
    <t xml:space="preserve">Las horas extras suman S/ 130.00 (62.50 + 67.50) sobre un total de S/ 3,253.00, o sea el 4.00% (exactamente 3.996%) de las remuneraciones.</t>
  </si>
  <si>
    <t xml:space="preserve">5. Con datos reales</t>
  </si>
  <si>
    <t xml:space="preserve">PENDIENTE: cada participante pone el sueldo de una oferta laboral real en la hoja Casos (columnas Propio) con su enlace y fecha. La fila '% del bruto que llega como neto' da el resultado; luego se compara con dos compañeros.</t>
  </si>
  <si>
    <t xml:space="preserve">Tabla de fuentes</t>
  </si>
  <si>
    <t xml:space="preserve">Dato</t>
  </si>
  <si>
    <t xml:space="preserve">RMV</t>
  </si>
  <si>
    <t xml:space="preserve">S/ 1,230.00</t>
  </si>
  <si>
    <t xml:space="preserve">D.S. N.º 015-2026-TR, El Peruano (28/09/2026), vigente desde 01/10/2026</t>
  </si>
  <si>
    <t xml:space="preserve">10% de la RMV = S/ 123.00</t>
  </si>
  <si>
    <t xml:space="preserve">13%</t>
  </si>
  <si>
    <t xml:space="preserve">9%</t>
  </si>
  <si>
    <t xml:space="preserve">Horas extras</t>
  </si>
  <si>
    <t xml:space="preserve">25% / 35%</t>
  </si>
  <si>
    <t xml:space="preserve">Normas de jornada y sobretiempo (D.S. 007-2002-TR, TUO)</t>
  </si>
  <si>
    <t xml:space="preserve">Formato de boleta</t>
  </si>
  <si>
    <t xml:space="preserve">3 bloques + neto</t>
  </si>
  <si>
    <t xml:space="preserve">Art. 19 del D.S. 001-98-TR</t>
  </si>
  <si>
    <t xml:space="preserve">Tasas AFP (Habitat, Integra, Prima, Profuturo)</t>
  </si>
  <si>
    <t xml:space="preserve">Fondo 10%; comisión 1.47%/1.55%/1.60%/1.69%; seguro 1.37%</t>
  </si>
  <si>
    <t xml:space="preserve">SBS – Comisiones y primas del SPP, devengue oct-2026 (sbs.gob.pe), contrastado con buk.pe/blog/tasas-afp</t>
  </si>
  <si>
    <t xml:space="preserve">10% / 1.60% / 1.35%</t>
  </si>
  <si>
    <t xml:space="preserve">Enunciado del tema (solo casos de prueba)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</si>
</sst>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0.00"/>
    <numFmt numFmtId="166" formatCode="0.00%"/>
    <numFmt numFmtId="167" formatCode="0"/>
    <numFmt numFmtId="168" formatCode="0.00"/>
    <numFmt numFmtId="169" formatCode="#,##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595959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  <fill>
      <patternFill patternType="solid">
        <fgColor rgb="FFC6EFCE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2"/>
    <col collapsed="false" customWidth="true" hidden="false" outlineLevel="0" max="4" min="4" style="0" width="14"/>
    <col collapsed="false" customWidth="true" hidden="false" outlineLevel="0" max="5" min="5" style="0" width="58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6</v>
      </c>
      <c r="B4" s="5" t="n">
        <v>1230</v>
      </c>
      <c r="C4" s="4" t="s">
        <v>7</v>
      </c>
      <c r="D4" s="4" t="s">
        <v>8</v>
      </c>
    </row>
    <row r="5" customFormat="false" ht="15" hidden="false" customHeight="false" outlineLevel="0" collapsed="false">
      <c r="A5" s="4" t="s">
        <v>9</v>
      </c>
      <c r="B5" s="6" t="n">
        <v>0.1</v>
      </c>
      <c r="C5" s="4" t="s">
        <v>10</v>
      </c>
      <c r="D5" s="4" t="s">
        <v>8</v>
      </c>
    </row>
    <row r="6" customFormat="false" ht="15" hidden="false" customHeight="false" outlineLevel="0" collapsed="false">
      <c r="A6" s="4" t="s">
        <v>11</v>
      </c>
      <c r="B6" s="7" t="n">
        <f aca="false">ROUND(B4*B5,2)</f>
        <v>123</v>
      </c>
      <c r="C6" s="4" t="s">
        <v>12</v>
      </c>
      <c r="D6" s="4" t="s">
        <v>8</v>
      </c>
    </row>
    <row r="7" customFormat="false" ht="15" hidden="false" customHeight="false" outlineLevel="0" collapsed="false">
      <c r="A7" s="4" t="s">
        <v>13</v>
      </c>
      <c r="B7" s="8" t="n">
        <v>30</v>
      </c>
      <c r="C7" s="4" t="s">
        <v>14</v>
      </c>
      <c r="D7" s="4" t="s">
        <v>8</v>
      </c>
    </row>
    <row r="8" customFormat="false" ht="15" hidden="false" customHeight="false" outlineLevel="0" collapsed="false">
      <c r="A8" s="4" t="s">
        <v>15</v>
      </c>
      <c r="B8" s="8" t="n">
        <v>8</v>
      </c>
      <c r="C8" s="4" t="s">
        <v>16</v>
      </c>
      <c r="D8" s="4" t="s">
        <v>8</v>
      </c>
    </row>
    <row r="9" customFormat="false" ht="15" hidden="false" customHeight="false" outlineLevel="0" collapsed="false">
      <c r="A9" s="4" t="s">
        <v>17</v>
      </c>
      <c r="B9" s="9" t="n">
        <v>1.25</v>
      </c>
      <c r="C9" s="4" t="s">
        <v>18</v>
      </c>
      <c r="D9" s="4" t="s">
        <v>8</v>
      </c>
    </row>
    <row r="10" customFormat="false" ht="15" hidden="false" customHeight="false" outlineLevel="0" collapsed="false">
      <c r="A10" s="4" t="s">
        <v>19</v>
      </c>
      <c r="B10" s="9" t="n">
        <v>1.35</v>
      </c>
      <c r="C10" s="4" t="s">
        <v>20</v>
      </c>
      <c r="D10" s="4" t="s">
        <v>8</v>
      </c>
    </row>
    <row r="11" customFormat="false" ht="15" hidden="false" customHeight="false" outlineLevel="0" collapsed="false">
      <c r="A11" s="4" t="s">
        <v>21</v>
      </c>
      <c r="B11" s="6" t="n">
        <v>0.13</v>
      </c>
      <c r="C11" s="4" t="s">
        <v>22</v>
      </c>
      <c r="D11" s="4" t="s">
        <v>8</v>
      </c>
    </row>
    <row r="12" customFormat="false" ht="15" hidden="false" customHeight="false" outlineLevel="0" collapsed="false">
      <c r="A12" s="4" t="s">
        <v>23</v>
      </c>
      <c r="B12" s="6" t="n">
        <v>0.09</v>
      </c>
      <c r="C12" s="4" t="s">
        <v>24</v>
      </c>
      <c r="D12" s="4" t="s">
        <v>8</v>
      </c>
    </row>
    <row r="15" customFormat="false" ht="15" hidden="false" customHeight="false" outlineLevel="0" collapsed="false">
      <c r="A15" s="10" t="s">
        <v>25</v>
      </c>
    </row>
    <row r="16" customFormat="false" ht="26.85" hidden="false" customHeight="false" outlineLevel="0" collapsed="false">
      <c r="A16" s="3" t="s">
        <v>26</v>
      </c>
      <c r="B16" s="3" t="s">
        <v>27</v>
      </c>
      <c r="C16" s="3" t="s">
        <v>28</v>
      </c>
      <c r="D16" s="3" t="s">
        <v>29</v>
      </c>
      <c r="E16" s="3" t="s">
        <v>4</v>
      </c>
      <c r="F16" s="3" t="s">
        <v>5</v>
      </c>
    </row>
    <row r="17" customFormat="false" ht="15" hidden="false" customHeight="false" outlineLevel="0" collapsed="false">
      <c r="A17" s="4" t="s">
        <v>30</v>
      </c>
      <c r="B17" s="6" t="n">
        <v>0.1</v>
      </c>
      <c r="C17" s="6" t="n">
        <v>0.016</v>
      </c>
      <c r="D17" s="6" t="n">
        <v>0.0135</v>
      </c>
      <c r="E17" s="4" t="s">
        <v>31</v>
      </c>
      <c r="F17" s="4" t="s">
        <v>8</v>
      </c>
    </row>
    <row r="18" customFormat="false" ht="15" hidden="false" customHeight="false" outlineLevel="0" collapsed="false">
      <c r="A18" s="4" t="s">
        <v>32</v>
      </c>
      <c r="B18" s="6" t="n">
        <v>0.1</v>
      </c>
      <c r="C18" s="6" t="n">
        <v>0.0147</v>
      </c>
      <c r="D18" s="6" t="n">
        <v>0.0137</v>
      </c>
      <c r="E18" s="4" t="s">
        <v>33</v>
      </c>
      <c r="F18" s="4" t="s">
        <v>8</v>
      </c>
    </row>
    <row r="19" customFormat="false" ht="15" hidden="false" customHeight="false" outlineLevel="0" collapsed="false">
      <c r="A19" s="4" t="s">
        <v>34</v>
      </c>
      <c r="B19" s="6" t="n">
        <v>0.1</v>
      </c>
      <c r="C19" s="6" t="n">
        <v>0.0155</v>
      </c>
      <c r="D19" s="6" t="n">
        <v>0.0137</v>
      </c>
      <c r="E19" s="4" t="s">
        <v>33</v>
      </c>
      <c r="F19" s="4" t="s">
        <v>8</v>
      </c>
    </row>
    <row r="20" customFormat="false" ht="15" hidden="false" customHeight="false" outlineLevel="0" collapsed="false">
      <c r="A20" s="4" t="s">
        <v>35</v>
      </c>
      <c r="B20" s="6" t="n">
        <v>0.1</v>
      </c>
      <c r="C20" s="6" t="n">
        <v>0.016</v>
      </c>
      <c r="D20" s="6" t="n">
        <v>0.0137</v>
      </c>
      <c r="E20" s="4" t="s">
        <v>33</v>
      </c>
      <c r="F20" s="4" t="s">
        <v>8</v>
      </c>
    </row>
    <row r="21" customFormat="false" ht="15" hidden="false" customHeight="false" outlineLevel="0" collapsed="false">
      <c r="A21" s="4" t="s">
        <v>36</v>
      </c>
      <c r="B21" s="6" t="n">
        <v>0.1</v>
      </c>
      <c r="C21" s="6" t="n">
        <v>0.0169</v>
      </c>
      <c r="D21" s="6" t="n">
        <v>0.0137</v>
      </c>
      <c r="E21" s="4" t="s">
        <v>33</v>
      </c>
      <c r="F21" s="4" t="s">
        <v>8</v>
      </c>
    </row>
    <row r="23" customFormat="false" ht="15" hidden="false" customHeight="false" outlineLevel="0" collapsed="false">
      <c r="A23" s="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70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39</v>
      </c>
    </row>
    <row r="3" customFormat="false" ht="15" hidden="false" customHeight="false" outlineLevel="0" collapsed="false">
      <c r="A3" s="11" t="s">
        <v>40</v>
      </c>
    </row>
    <row r="4" customFormat="false" ht="15" hidden="false" customHeight="false" outlineLevel="0" collapsed="false">
      <c r="A4" s="3"/>
      <c r="B4" s="3" t="s">
        <v>41</v>
      </c>
      <c r="C4" s="3" t="s">
        <v>3</v>
      </c>
      <c r="D4" s="3" t="s">
        <v>42</v>
      </c>
    </row>
    <row r="5" customFormat="false" ht="15" hidden="false" customHeight="false" outlineLevel="0" collapsed="false">
      <c r="B5" s="11" t="s">
        <v>43</v>
      </c>
      <c r="C5" s="12" t="s">
        <v>44</v>
      </c>
      <c r="D5" s="13" t="s">
        <v>45</v>
      </c>
    </row>
    <row r="6" customFormat="false" ht="15" hidden="false" customHeight="false" outlineLevel="0" collapsed="false">
      <c r="B6" s="11" t="s">
        <v>46</v>
      </c>
      <c r="C6" s="14" t="n">
        <v>3000</v>
      </c>
      <c r="D6" s="13" t="s">
        <v>47</v>
      </c>
    </row>
    <row r="7" customFormat="false" ht="15" hidden="false" customHeight="false" outlineLevel="0" collapsed="false">
      <c r="B7" s="11" t="s">
        <v>48</v>
      </c>
      <c r="C7" s="15" t="n">
        <v>30</v>
      </c>
      <c r="D7" s="13" t="s">
        <v>49</v>
      </c>
    </row>
    <row r="8" customFormat="false" ht="15" hidden="false" customHeight="false" outlineLevel="0" collapsed="false">
      <c r="B8" s="11" t="s">
        <v>50</v>
      </c>
      <c r="C8" s="12" t="s">
        <v>51</v>
      </c>
      <c r="D8" s="13" t="s">
        <v>52</v>
      </c>
    </row>
    <row r="9" customFormat="false" ht="15" hidden="false" customHeight="false" outlineLevel="0" collapsed="false">
      <c r="B9" s="11" t="s">
        <v>53</v>
      </c>
      <c r="C9" s="12" t="s">
        <v>26</v>
      </c>
      <c r="D9" s="13" t="s">
        <v>54</v>
      </c>
    </row>
    <row r="10" customFormat="false" ht="15" hidden="false" customHeight="false" outlineLevel="0" collapsed="false">
      <c r="B10" s="11" t="s">
        <v>26</v>
      </c>
      <c r="C10" s="12" t="s">
        <v>30</v>
      </c>
      <c r="D10" s="13" t="s">
        <v>55</v>
      </c>
    </row>
    <row r="11" customFormat="false" ht="15" hidden="false" customHeight="false" outlineLevel="0" collapsed="false">
      <c r="B11" s="11" t="s">
        <v>56</v>
      </c>
      <c r="C11" s="16" t="n">
        <v>4</v>
      </c>
      <c r="D11" s="13" t="s">
        <v>57</v>
      </c>
    </row>
    <row r="12" customFormat="false" ht="15" hidden="false" customHeight="false" outlineLevel="0" collapsed="false">
      <c r="B12" s="11" t="s">
        <v>58</v>
      </c>
      <c r="C12" s="16" t="n">
        <v>4</v>
      </c>
      <c r="D12" s="13" t="s">
        <v>57</v>
      </c>
    </row>
    <row r="13" customFormat="false" ht="15" hidden="false" customHeight="false" outlineLevel="0" collapsed="false">
      <c r="B13" s="11" t="s">
        <v>59</v>
      </c>
      <c r="C13" s="14" t="n">
        <v>200</v>
      </c>
      <c r="D13" s="13" t="s">
        <v>57</v>
      </c>
    </row>
    <row r="14" customFormat="false" ht="15" hidden="false" customHeight="false" outlineLevel="0" collapsed="false">
      <c r="B14" s="10" t="s">
        <v>60</v>
      </c>
      <c r="C14" s="10" t="str">
        <f aca="false">IF(OR(C6&lt;=0,C7&lt;1,C7&gt;30,INT(C7)&lt;&gt;C7,C11&lt;0,C12&lt;0,C13&lt;0),"Datos NO válidos: revisa sueldo (&gt;0), días (1 a 30) y que horas/adelantos no sean negativos","Datos válidos")</f>
        <v>Datos válidos</v>
      </c>
    </row>
    <row r="16" customFormat="false" ht="15" hidden="false" customHeight="false" outlineLevel="0" collapsed="false">
      <c r="A16" s="3" t="s">
        <v>61</v>
      </c>
      <c r="B16" s="3" t="s">
        <v>62</v>
      </c>
      <c r="C16" s="3" t="s">
        <v>63</v>
      </c>
      <c r="D16" s="3" t="s">
        <v>64</v>
      </c>
      <c r="E16" s="3" t="s">
        <v>65</v>
      </c>
    </row>
    <row r="17" customFormat="false" ht="15" hidden="false" customHeight="false" outlineLevel="0" collapsed="false">
      <c r="A17" s="10" t="s">
        <v>66</v>
      </c>
      <c r="B17" s="11" t="s">
        <v>67</v>
      </c>
      <c r="C17" s="7" t="n">
        <f aca="false">ROUND(C6*C7/DiasMes,2)</f>
        <v>3000</v>
      </c>
      <c r="D17" s="13" t="str">
        <f aca="false">_xlfn.FORMULATEXT(C17)</f>
        <v>=ROUND(C6*C7/DiasMes,2)</v>
      </c>
      <c r="E17" s="11" t="s">
        <v>68</v>
      </c>
    </row>
    <row r="18" customFormat="false" ht="15" hidden="false" customHeight="false" outlineLevel="0" collapsed="false">
      <c r="A18" s="10"/>
      <c r="B18" s="11" t="s">
        <v>69</v>
      </c>
      <c r="C18" s="7" t="n">
        <f aca="false">IF(C8="Sí",AsigFam,0)</f>
        <v>123</v>
      </c>
      <c r="D18" s="13" t="str">
        <f aca="false">_xlfn.FORMULATEXT(C18)</f>
        <v>=IF(C8="Sí",AsigFam,0)</v>
      </c>
      <c r="E18" s="11" t="s">
        <v>70</v>
      </c>
    </row>
    <row r="19" customFormat="false" ht="15" hidden="false" customHeight="false" outlineLevel="0" collapsed="false">
      <c r="A19" s="10"/>
      <c r="B19" s="11" t="s">
        <v>71</v>
      </c>
      <c r="C19" s="17" t="n">
        <f aca="false">C6/DiasMes/HorasDia</f>
        <v>12.5</v>
      </c>
      <c r="D19" s="13" t="str">
        <f aca="false">_xlfn.FORMULATEXT(C19)</f>
        <v>=C6/DiasMes/HorasDia</v>
      </c>
      <c r="E19" s="11" t="s">
        <v>72</v>
      </c>
    </row>
    <row r="20" customFormat="false" ht="15" hidden="false" customHeight="false" outlineLevel="0" collapsed="false">
      <c r="A20" s="10"/>
      <c r="B20" s="11" t="s">
        <v>73</v>
      </c>
      <c r="C20" s="7" t="n">
        <f aca="false">ROUND(C19*FactorHE25*C11,2)</f>
        <v>62.5</v>
      </c>
      <c r="D20" s="13" t="str">
        <f aca="false">_xlfn.FORMULATEXT(C20)</f>
        <v>=ROUND(C19*FactorHE25*C11,2)</v>
      </c>
      <c r="E20" s="11" t="s">
        <v>74</v>
      </c>
    </row>
    <row r="21" customFormat="false" ht="15" hidden="false" customHeight="false" outlineLevel="0" collapsed="false">
      <c r="A21" s="10"/>
      <c r="B21" s="11" t="s">
        <v>75</v>
      </c>
      <c r="C21" s="7" t="n">
        <f aca="false">ROUND(C19*FactorHE35*C12,2)</f>
        <v>67.5</v>
      </c>
      <c r="D21" s="13" t="str">
        <f aca="false">_xlfn.FORMULATEXT(C21)</f>
        <v>=ROUND(C19*FactorHE35*C12,2)</v>
      </c>
      <c r="E21" s="11" t="s">
        <v>76</v>
      </c>
    </row>
    <row r="22" customFormat="false" ht="15" hidden="false" customHeight="false" outlineLevel="0" collapsed="false">
      <c r="A22" s="10"/>
      <c r="B22" s="18" t="s">
        <v>77</v>
      </c>
      <c r="C22" s="19" t="n">
        <f aca="false">C17+C18+C20+C21</f>
        <v>3253</v>
      </c>
      <c r="D22" s="13" t="str">
        <f aca="false">_xlfn.FORMULATEXT(C22)</f>
        <v>=C17+C18+C20+C21</v>
      </c>
      <c r="E22" s="11" t="s">
        <v>78</v>
      </c>
    </row>
    <row r="24" customFormat="false" ht="15" hidden="false" customHeight="false" outlineLevel="0" collapsed="false">
      <c r="A24" s="10" t="s">
        <v>79</v>
      </c>
      <c r="B24" s="11" t="s">
        <v>80</v>
      </c>
      <c r="C24" s="7" t="n">
        <f aca="false">IF(C9="ONP",ROUND(C22*TasaONP,2),0)</f>
        <v>0</v>
      </c>
      <c r="D24" s="13" t="str">
        <f aca="false">_xlfn.FORMULATEXT(C24)</f>
        <v>=IF(C9="ONP",ROUND(C22*TasaONP,2),0)</v>
      </c>
      <c r="E24" s="11" t="s">
        <v>81</v>
      </c>
    </row>
    <row r="25" customFormat="false" ht="15" hidden="false" customHeight="false" outlineLevel="0" collapsed="false">
      <c r="A25" s="10"/>
      <c r="B25" s="11" t="s">
        <v>82</v>
      </c>
      <c r="C25" s="7" t="n">
        <f aca="false">IF(C9="AFP",ROUND(C22*INDEX(TablaAFP,MATCH(C10,ListaAFP,0),2),2),0)</f>
        <v>325.3</v>
      </c>
      <c r="D25" s="13" t="str">
        <f aca="false">_xlfn.FORMULATEXT(C25)</f>
        <v>=IF(C9="AFP",ROUND(C22*INDEX(TablaAFP,MATCH(C10,ListaAFP,0),2),2),0)</v>
      </c>
      <c r="E25" s="11" t="s">
        <v>83</v>
      </c>
    </row>
    <row r="26" customFormat="false" ht="15" hidden="false" customHeight="false" outlineLevel="0" collapsed="false">
      <c r="A26" s="10"/>
      <c r="B26" s="11" t="s">
        <v>84</v>
      </c>
      <c r="C26" s="7" t="n">
        <f aca="false">IF(C9="AFP",ROUND(C22*INDEX(TablaAFP,MATCH(C10,ListaAFP,0),3),2),0)</f>
        <v>52.05</v>
      </c>
      <c r="D26" s="13" t="str">
        <f aca="false">_xlfn.FORMULATEXT(C26)</f>
        <v>=IF(C9="AFP",ROUND(C22*INDEX(TablaAFP,MATCH(C10,ListaAFP,0),3),2),0)</v>
      </c>
      <c r="E26" s="11" t="s">
        <v>85</v>
      </c>
    </row>
    <row r="27" customFormat="false" ht="15" hidden="false" customHeight="false" outlineLevel="0" collapsed="false">
      <c r="A27" s="10"/>
      <c r="B27" s="11" t="s">
        <v>86</v>
      </c>
      <c r="C27" s="7" t="n">
        <f aca="false">IF(C9="AFP",ROUND(C22*INDEX(TablaAFP,MATCH(C10,ListaAFP,0),4),2),0)</f>
        <v>43.92</v>
      </c>
      <c r="D27" s="13" t="str">
        <f aca="false">_xlfn.FORMULATEXT(C27)</f>
        <v>=IF(C9="AFP",ROUND(C22*INDEX(TablaAFP,MATCH(C10,ListaAFP,0),4),2),0)</v>
      </c>
      <c r="E27" s="11" t="s">
        <v>87</v>
      </c>
    </row>
    <row r="28" customFormat="false" ht="15" hidden="false" customHeight="false" outlineLevel="0" collapsed="false">
      <c r="A28" s="10"/>
      <c r="B28" s="11" t="s">
        <v>88</v>
      </c>
      <c r="C28" s="7" t="n">
        <f aca="false">ROUND(C13,2)</f>
        <v>200</v>
      </c>
      <c r="D28" s="13" t="str">
        <f aca="false">_xlfn.FORMULATEXT(C28)</f>
        <v>=ROUND(C13,2)</v>
      </c>
      <c r="E28" s="11" t="s">
        <v>89</v>
      </c>
    </row>
    <row r="29" customFormat="false" ht="15" hidden="false" customHeight="false" outlineLevel="0" collapsed="false">
      <c r="A29" s="10"/>
      <c r="B29" s="18" t="s">
        <v>90</v>
      </c>
      <c r="C29" s="19" t="n">
        <f aca="false">SUM(C24:C28)</f>
        <v>621.27</v>
      </c>
      <c r="D29" s="13" t="str">
        <f aca="false">_xlfn.FORMULATEXT(C29)</f>
        <v>=SUM(C24:C28)</v>
      </c>
      <c r="E29" s="11" t="s">
        <v>91</v>
      </c>
    </row>
    <row r="31" customFormat="false" ht="15" hidden="false" customHeight="false" outlineLevel="0" collapsed="false">
      <c r="A31" s="10" t="s">
        <v>92</v>
      </c>
      <c r="B31" s="20" t="s">
        <v>93</v>
      </c>
      <c r="C31" s="21" t="n">
        <f aca="false">C22-C29</f>
        <v>2631.73</v>
      </c>
      <c r="D31" s="13" t="str">
        <f aca="false">_xlfn.FORMULATEXT(C31)</f>
        <v>=C22-C29</v>
      </c>
      <c r="E31" s="11" t="s">
        <v>94</v>
      </c>
    </row>
    <row r="33" customFormat="false" ht="15" hidden="false" customHeight="false" outlineLevel="0" collapsed="false">
      <c r="A33" s="10" t="s">
        <v>95</v>
      </c>
      <c r="B33" s="11" t="s">
        <v>96</v>
      </c>
      <c r="C33" s="7" t="n">
        <f aca="false">ROUND(C22*TasaEsSalud,2)</f>
        <v>292.77</v>
      </c>
      <c r="D33" s="13" t="str">
        <f aca="false">_xlfn.FORMULATEXT(C33)</f>
        <v>=ROUND(C22*TasaEsSalud,2)</v>
      </c>
      <c r="E33" s="11" t="s">
        <v>97</v>
      </c>
    </row>
    <row r="35" customFormat="false" ht="15" hidden="false" customHeight="false" outlineLevel="0" collapsed="false">
      <c r="A35" s="10" t="s">
        <v>98</v>
      </c>
      <c r="B35" s="11" t="s">
        <v>99</v>
      </c>
      <c r="C35" s="7" t="n">
        <f aca="false">C22+C33</f>
        <v>3545.77</v>
      </c>
      <c r="D35" s="13" t="str">
        <f aca="false">_xlfn.FORMULATEXT(C35)</f>
        <v>=C22+C33</v>
      </c>
      <c r="E35" s="11" t="s">
        <v>100</v>
      </c>
    </row>
    <row r="36" customFormat="false" ht="15" hidden="false" customHeight="false" outlineLevel="0" collapsed="false">
      <c r="A36" s="10"/>
      <c r="B36" s="11" t="s">
        <v>101</v>
      </c>
      <c r="C36" s="22" t="n">
        <f aca="false">IF(C22=0,0,C31/C22)</f>
        <v>0.809016292652936</v>
      </c>
      <c r="D36" s="13" t="str">
        <f aca="false">_xlfn.FORMULATEXT(C36)</f>
        <v>=IF(C22=0,0,C31/C22)</v>
      </c>
      <c r="E36" s="11" t="s">
        <v>102</v>
      </c>
    </row>
  </sheetData>
  <dataValidations count="3">
    <dataValidation allowBlank="false" errorStyle="stop" operator="between" showDropDown="false" showErrorMessage="false" showInputMessage="false" sqref="B7:I7" type="list">
      <formula1>"No,Sí"</formula1>
      <formula2>0</formula2>
    </dataValidation>
    <dataValidation allowBlank="false" errorStyle="stop" operator="between" showDropDown="false" showErrorMessage="false" showInputMessage="false" sqref="B8:I8" type="list">
      <formula1>"ONP,AFP"</formula1>
      <formula2>0</formula2>
    </dataValidation>
    <dataValidation allowBlank="false" errorStyle="stop" operator="between" showDropDown="false" showErrorMessage="false" showInputMessage="false" sqref="B9:I9 C10" type="list">
      <formula1>ListaAFP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9" min="2" style="0" width="19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4" customFormat="false" ht="26.85" hidden="false" customHeight="false" outlineLevel="0" collapsed="false">
      <c r="A4" s="3" t="s">
        <v>62</v>
      </c>
      <c r="B4" s="3" t="s">
        <v>105</v>
      </c>
      <c r="C4" s="3" t="s">
        <v>106</v>
      </c>
      <c r="D4" s="3" t="s">
        <v>107</v>
      </c>
      <c r="E4" s="3" t="s">
        <v>108</v>
      </c>
      <c r="F4" s="3" t="s">
        <v>109</v>
      </c>
      <c r="G4" s="3" t="s">
        <v>110</v>
      </c>
      <c r="H4" s="3" t="s">
        <v>111</v>
      </c>
      <c r="I4" s="3" t="s">
        <v>112</v>
      </c>
    </row>
    <row r="5" customFormat="false" ht="15" hidden="false" customHeight="false" outlineLevel="0" collapsed="false">
      <c r="A5" s="11" t="s">
        <v>46</v>
      </c>
      <c r="B5" s="14" t="n">
        <v>2500</v>
      </c>
      <c r="C5" s="14" t="n">
        <v>1800</v>
      </c>
      <c r="D5" s="14" t="n">
        <v>3000</v>
      </c>
      <c r="E5" s="14" t="n">
        <v>4200</v>
      </c>
      <c r="F5" s="14" t="n">
        <v>3000</v>
      </c>
      <c r="G5" s="14" t="n">
        <v>1800</v>
      </c>
      <c r="H5" s="14"/>
      <c r="I5" s="14"/>
    </row>
    <row r="6" customFormat="false" ht="15" hidden="false" customHeight="false" outlineLevel="0" collapsed="false">
      <c r="A6" s="11" t="s">
        <v>48</v>
      </c>
      <c r="B6" s="12" t="n">
        <v>30</v>
      </c>
      <c r="C6" s="12" t="n">
        <v>27</v>
      </c>
      <c r="D6" s="12" t="n">
        <v>30</v>
      </c>
      <c r="E6" s="12" t="n">
        <v>24</v>
      </c>
      <c r="F6" s="12" t="n">
        <v>30</v>
      </c>
      <c r="G6" s="12" t="n">
        <v>30</v>
      </c>
      <c r="H6" s="12" t="n">
        <v>30</v>
      </c>
      <c r="I6" s="12" t="n">
        <v>30</v>
      </c>
    </row>
    <row r="7" customFormat="false" ht="15" hidden="false" customHeight="false" outlineLevel="0" collapsed="false">
      <c r="A7" s="11" t="s">
        <v>50</v>
      </c>
      <c r="B7" s="12" t="s">
        <v>113</v>
      </c>
      <c r="C7" s="12" t="s">
        <v>51</v>
      </c>
      <c r="D7" s="12" t="s">
        <v>51</v>
      </c>
      <c r="E7" s="12" t="s">
        <v>51</v>
      </c>
      <c r="F7" s="12" t="s">
        <v>51</v>
      </c>
      <c r="G7" s="12" t="s">
        <v>51</v>
      </c>
      <c r="H7" s="12" t="s">
        <v>113</v>
      </c>
      <c r="I7" s="12" t="s">
        <v>113</v>
      </c>
    </row>
    <row r="8" customFormat="false" ht="15" hidden="false" customHeight="false" outlineLevel="0" collapsed="false">
      <c r="A8" s="11" t="s">
        <v>114</v>
      </c>
      <c r="B8" s="12" t="s">
        <v>115</v>
      </c>
      <c r="C8" s="12" t="s">
        <v>115</v>
      </c>
      <c r="D8" s="12" t="s">
        <v>26</v>
      </c>
      <c r="E8" s="12" t="s">
        <v>26</v>
      </c>
      <c r="F8" s="12" t="s">
        <v>115</v>
      </c>
      <c r="G8" s="12" t="s">
        <v>115</v>
      </c>
      <c r="H8" s="12" t="s">
        <v>26</v>
      </c>
      <c r="I8" s="12" t="s">
        <v>115</v>
      </c>
    </row>
    <row r="9" customFormat="false" ht="15" hidden="false" customHeight="false" outlineLevel="0" collapsed="false">
      <c r="A9" s="11" t="s">
        <v>26</v>
      </c>
      <c r="B9" s="12" t="s">
        <v>30</v>
      </c>
      <c r="C9" s="12" t="s">
        <v>30</v>
      </c>
      <c r="D9" s="12" t="s">
        <v>30</v>
      </c>
      <c r="E9" s="12" t="s">
        <v>30</v>
      </c>
      <c r="F9" s="12" t="s">
        <v>30</v>
      </c>
      <c r="G9" s="12" t="s">
        <v>30</v>
      </c>
      <c r="H9" s="12" t="s">
        <v>35</v>
      </c>
      <c r="I9" s="12" t="s">
        <v>32</v>
      </c>
    </row>
    <row r="10" customFormat="false" ht="15" hidden="false" customHeight="false" outlineLevel="0" collapsed="false">
      <c r="A10" s="11" t="s">
        <v>73</v>
      </c>
      <c r="B10" s="12" t="n">
        <v>0</v>
      </c>
      <c r="C10" s="12" t="n">
        <v>0</v>
      </c>
      <c r="D10" s="12" t="n">
        <v>4</v>
      </c>
      <c r="E10" s="12" t="n">
        <v>2</v>
      </c>
      <c r="F10" s="12" t="n">
        <v>4</v>
      </c>
      <c r="G10" s="12" t="n">
        <v>0</v>
      </c>
      <c r="H10" s="12" t="n">
        <v>0</v>
      </c>
      <c r="I10" s="12" t="n">
        <v>0</v>
      </c>
    </row>
    <row r="11" customFormat="false" ht="15" hidden="false" customHeight="false" outlineLevel="0" collapsed="false">
      <c r="A11" s="11" t="s">
        <v>75</v>
      </c>
      <c r="B11" s="12" t="n">
        <v>0</v>
      </c>
      <c r="C11" s="12" t="n">
        <v>0</v>
      </c>
      <c r="D11" s="12" t="n">
        <v>4</v>
      </c>
      <c r="E11" s="12" t="n">
        <v>2</v>
      </c>
      <c r="F11" s="12" t="n">
        <v>4</v>
      </c>
      <c r="G11" s="12" t="n">
        <v>0</v>
      </c>
      <c r="H11" s="12" t="n">
        <v>0</v>
      </c>
      <c r="I11" s="12" t="n">
        <v>0</v>
      </c>
    </row>
    <row r="12" customFormat="false" ht="15" hidden="false" customHeight="false" outlineLevel="0" collapsed="false">
      <c r="A12" s="11" t="s">
        <v>59</v>
      </c>
      <c r="B12" s="14" t="n">
        <v>0</v>
      </c>
      <c r="C12" s="14" t="n">
        <v>0</v>
      </c>
      <c r="D12" s="14" t="n">
        <v>200</v>
      </c>
      <c r="E12" s="14" t="n">
        <v>100</v>
      </c>
      <c r="F12" s="14" t="n">
        <v>200</v>
      </c>
      <c r="G12" s="14" t="n">
        <v>0</v>
      </c>
      <c r="H12" s="14" t="n">
        <v>0</v>
      </c>
      <c r="I12" s="14" t="n">
        <v>0</v>
      </c>
    </row>
    <row r="13" customFormat="false" ht="26.85" hidden="false" customHeight="false" outlineLevel="0" collapsed="false">
      <c r="A13" s="3" t="s">
        <v>116</v>
      </c>
      <c r="B13" s="3" t="s">
        <v>105</v>
      </c>
      <c r="C13" s="3" t="s">
        <v>106</v>
      </c>
      <c r="D13" s="3" t="s">
        <v>107</v>
      </c>
      <c r="E13" s="3" t="s">
        <v>108</v>
      </c>
      <c r="F13" s="3" t="s">
        <v>109</v>
      </c>
      <c r="G13" s="3" t="s">
        <v>110</v>
      </c>
      <c r="H13" s="3" t="s">
        <v>111</v>
      </c>
      <c r="I13" s="3" t="s">
        <v>112</v>
      </c>
    </row>
    <row r="14" customFormat="false" ht="15" hidden="false" customHeight="false" outlineLevel="0" collapsed="false">
      <c r="A14" s="11" t="s">
        <v>67</v>
      </c>
      <c r="B14" s="7" t="n">
        <f aca="false">IF(B$5="","",ROUND(B5*B6/DiasMes,2))</f>
        <v>2500</v>
      </c>
      <c r="C14" s="7" t="n">
        <f aca="false">IF(C$5="","",ROUND(C5*C6/DiasMes,2))</f>
        <v>1620</v>
      </c>
      <c r="D14" s="7" t="n">
        <f aca="false">IF(D$5="","",ROUND(D5*D6/DiasMes,2))</f>
        <v>3000</v>
      </c>
      <c r="E14" s="7" t="n">
        <f aca="false">IF(E$5="","",ROUND(E5*E6/DiasMes,2))</f>
        <v>3360</v>
      </c>
      <c r="F14" s="7" t="n">
        <f aca="false">IF(F$5="","",ROUND(F5*F6/DiasMes,2))</f>
        <v>3000</v>
      </c>
      <c r="G14" s="7" t="n">
        <f aca="false">IF(G$5="","",ROUND(G5*G6/DiasMes,2))</f>
        <v>1800</v>
      </c>
      <c r="H14" s="7" t="str">
        <f aca="false">IF(H$5="","",ROUND(H5*H6/DiasMes,2))</f>
        <v/>
      </c>
      <c r="I14" s="7" t="str">
        <f aca="false">IF(I$5="","",ROUND(I5*I6/DiasMes,2))</f>
        <v/>
      </c>
    </row>
    <row r="15" customFormat="false" ht="15" hidden="false" customHeight="false" outlineLevel="0" collapsed="false">
      <c r="A15" s="11" t="s">
        <v>69</v>
      </c>
      <c r="B15" s="7" t="n">
        <f aca="false">IF(B$5="","",IF(B7="Sí",AsigFam,0))</f>
        <v>0</v>
      </c>
      <c r="C15" s="7" t="n">
        <f aca="false">IF(C$5="","",IF(C7="Sí",AsigFam,0))</f>
        <v>123</v>
      </c>
      <c r="D15" s="7" t="n">
        <f aca="false">IF(D$5="","",IF(D7="Sí",AsigFam,0))</f>
        <v>123</v>
      </c>
      <c r="E15" s="7" t="n">
        <f aca="false">IF(E$5="","",IF(E7="Sí",AsigFam,0))</f>
        <v>123</v>
      </c>
      <c r="F15" s="7" t="n">
        <f aca="false">IF(F$5="","",IF(F7="Sí",AsigFam,0))</f>
        <v>123</v>
      </c>
      <c r="G15" s="7" t="n">
        <f aca="false">IF(G$5="","",IF(G7="Sí",AsigFam,0))</f>
        <v>123</v>
      </c>
      <c r="H15" s="7" t="str">
        <f aca="false">IF(H$5="","",IF(H7="Sí",AsigFam,0))</f>
        <v/>
      </c>
      <c r="I15" s="7" t="str">
        <f aca="false">IF(I$5="","",IF(I7="Sí",AsigFam,0))</f>
        <v/>
      </c>
    </row>
    <row r="16" customFormat="false" ht="15" hidden="false" customHeight="false" outlineLevel="0" collapsed="false">
      <c r="A16" s="11" t="s">
        <v>117</v>
      </c>
      <c r="B16" s="17" t="n">
        <f aca="false">IF(B$5="","",B5/DiasMes/HorasDia)</f>
        <v>10.4166666666667</v>
      </c>
      <c r="C16" s="17" t="n">
        <f aca="false">IF(C$5="","",C5/DiasMes/HorasDia)</f>
        <v>7.5</v>
      </c>
      <c r="D16" s="17" t="n">
        <f aca="false">IF(D$5="","",D5/DiasMes/HorasDia)</f>
        <v>12.5</v>
      </c>
      <c r="E16" s="17" t="n">
        <f aca="false">IF(E$5="","",E5/DiasMes/HorasDia)</f>
        <v>17.5</v>
      </c>
      <c r="F16" s="17" t="n">
        <f aca="false">IF(F$5="","",F5/DiasMes/HorasDia)</f>
        <v>12.5</v>
      </c>
      <c r="G16" s="17" t="n">
        <f aca="false">IF(G$5="","",G5/DiasMes/HorasDia)</f>
        <v>7.5</v>
      </c>
      <c r="H16" s="17" t="str">
        <f aca="false">IF(H$5="","",H5/DiasMes/HorasDia)</f>
        <v/>
      </c>
      <c r="I16" s="17" t="str">
        <f aca="false">IF(I$5="","",I5/DiasMes/HorasDia)</f>
        <v/>
      </c>
    </row>
    <row r="17" customFormat="false" ht="15" hidden="false" customHeight="false" outlineLevel="0" collapsed="false">
      <c r="A17" s="11" t="s">
        <v>73</v>
      </c>
      <c r="B17" s="7" t="n">
        <f aca="false">IF(B$5="","",ROUND(B16*FactorHE25*B10,2))</f>
        <v>0</v>
      </c>
      <c r="C17" s="7" t="n">
        <f aca="false">IF(C$5="","",ROUND(C16*FactorHE25*C10,2))</f>
        <v>0</v>
      </c>
      <c r="D17" s="7" t="n">
        <f aca="false">IF(D$5="","",ROUND(D16*FactorHE25*D10,2))</f>
        <v>62.5</v>
      </c>
      <c r="E17" s="7" t="n">
        <f aca="false">IF(E$5="","",ROUND(E16*FactorHE25*E10,2))</f>
        <v>43.75</v>
      </c>
      <c r="F17" s="7" t="n">
        <f aca="false">IF(F$5="","",ROUND(F16*FactorHE25*F10,2))</f>
        <v>62.5</v>
      </c>
      <c r="G17" s="7" t="n">
        <f aca="false">IF(G$5="","",ROUND(G16*FactorHE25*G10,2))</f>
        <v>0</v>
      </c>
      <c r="H17" s="7" t="str">
        <f aca="false">IF(H$5="","",ROUND(H16*FactorHE25*H10,2))</f>
        <v/>
      </c>
      <c r="I17" s="7" t="str">
        <f aca="false">IF(I$5="","",ROUND(I16*FactorHE25*I10,2))</f>
        <v/>
      </c>
    </row>
    <row r="18" customFormat="false" ht="15" hidden="false" customHeight="false" outlineLevel="0" collapsed="false">
      <c r="A18" s="11" t="s">
        <v>75</v>
      </c>
      <c r="B18" s="7" t="n">
        <f aca="false">IF(B$5="","",ROUND(B16*FactorHE35*B11,2))</f>
        <v>0</v>
      </c>
      <c r="C18" s="7" t="n">
        <f aca="false">IF(C$5="","",ROUND(C16*FactorHE35*C11,2))</f>
        <v>0</v>
      </c>
      <c r="D18" s="7" t="n">
        <f aca="false">IF(D$5="","",ROUND(D16*FactorHE35*D11,2))</f>
        <v>67.5</v>
      </c>
      <c r="E18" s="7" t="n">
        <f aca="false">IF(E$5="","",ROUND(E16*FactorHE35*E11,2))</f>
        <v>47.25</v>
      </c>
      <c r="F18" s="7" t="n">
        <f aca="false">IF(F$5="","",ROUND(F16*FactorHE35*F11,2))</f>
        <v>67.5</v>
      </c>
      <c r="G18" s="7" t="n">
        <f aca="false">IF(G$5="","",ROUND(G16*FactorHE35*G11,2))</f>
        <v>0</v>
      </c>
      <c r="H18" s="7" t="str">
        <f aca="false">IF(H$5="","",ROUND(H16*FactorHE35*H11,2))</f>
        <v/>
      </c>
      <c r="I18" s="7" t="str">
        <f aca="false">IF(I$5="","",ROUND(I16*FactorHE35*I11,2))</f>
        <v/>
      </c>
    </row>
    <row r="19" customFormat="false" ht="15" hidden="false" customHeight="false" outlineLevel="0" collapsed="false">
      <c r="A19" s="10" t="s">
        <v>77</v>
      </c>
      <c r="B19" s="19" t="n">
        <f aca="false">IF(B$5="","",B14+B15+B17+B18)</f>
        <v>2500</v>
      </c>
      <c r="C19" s="19" t="n">
        <f aca="false">IF(C$5="","",C14+C15+C17+C18)</f>
        <v>1743</v>
      </c>
      <c r="D19" s="19" t="n">
        <f aca="false">IF(D$5="","",D14+D15+D17+D18)</f>
        <v>3253</v>
      </c>
      <c r="E19" s="19" t="n">
        <f aca="false">IF(E$5="","",E14+E15+E17+E18)</f>
        <v>3574</v>
      </c>
      <c r="F19" s="19" t="n">
        <f aca="false">IF(F$5="","",F14+F15+F17+F18)</f>
        <v>3253</v>
      </c>
      <c r="G19" s="19" t="n">
        <f aca="false">IF(G$5="","",G14+G15+G17+G18)</f>
        <v>1923</v>
      </c>
      <c r="H19" s="19" t="str">
        <f aca="false">IF(H$5="","",H14+H15+H17+H18)</f>
        <v/>
      </c>
      <c r="I19" s="19" t="str">
        <f aca="false">IF(I$5="","",I14+I15+I17+I18)</f>
        <v/>
      </c>
    </row>
    <row r="20" customFormat="false" ht="15" hidden="false" customHeight="false" outlineLevel="0" collapsed="false">
      <c r="A20" s="11" t="s">
        <v>115</v>
      </c>
      <c r="B20" s="7" t="n">
        <f aca="false">IF(B$5="","",IF(B8="ONP",ROUND(B19*TasaONP,2),0))</f>
        <v>325</v>
      </c>
      <c r="C20" s="7" t="n">
        <f aca="false">IF(C$5="","",IF(C8="ONP",ROUND(C19*TasaONP,2),0))</f>
        <v>226.59</v>
      </c>
      <c r="D20" s="7" t="n">
        <f aca="false">IF(D$5="","",IF(D8="ONP",ROUND(D19*TasaONP,2),0))</f>
        <v>0</v>
      </c>
      <c r="E20" s="7" t="n">
        <f aca="false">IF(E$5="","",IF(E8="ONP",ROUND(E19*TasaONP,2),0))</f>
        <v>0</v>
      </c>
      <c r="F20" s="7" t="n">
        <f aca="false">IF(F$5="","",IF(F8="ONP",ROUND(F19*TasaONP,2),0))</f>
        <v>422.89</v>
      </c>
      <c r="G20" s="7" t="n">
        <f aca="false">IF(G$5="","",IF(G8="ONP",ROUND(G19*TasaONP,2),0))</f>
        <v>249.99</v>
      </c>
      <c r="H20" s="7" t="str">
        <f aca="false">IF(H$5="","",IF(H8="ONP",ROUND(H19*TasaONP,2),0))</f>
        <v/>
      </c>
      <c r="I20" s="7" t="str">
        <f aca="false">IF(I$5="","",IF(I8="ONP",ROUND(I19*TasaONP,2),0))</f>
        <v/>
      </c>
    </row>
    <row r="21" customFormat="false" ht="15" hidden="false" customHeight="false" outlineLevel="0" collapsed="false">
      <c r="A21" s="11" t="s">
        <v>82</v>
      </c>
      <c r="B21" s="7" t="n">
        <f aca="false">IF(B$5="","",IF(B8="AFP",ROUND(B19*INDEX(TablaAFP,MATCH(B9,ListaAFP,0),2),2),0))</f>
        <v>0</v>
      </c>
      <c r="C21" s="7" t="n">
        <f aca="false">IF(C$5="","",IF(C8="AFP",ROUND(C19*INDEX(TablaAFP,MATCH(C9,ListaAFP,0),2),2),0))</f>
        <v>0</v>
      </c>
      <c r="D21" s="7" t="n">
        <f aca="false">IF(D$5="","",IF(D8="AFP",ROUND(D19*INDEX(TablaAFP,MATCH(D9,ListaAFP,0),2),2),0))</f>
        <v>325.3</v>
      </c>
      <c r="E21" s="7" t="n">
        <f aca="false">IF(E$5="","",IF(E8="AFP",ROUND(E19*INDEX(TablaAFP,MATCH(E9,ListaAFP,0),2),2),0))</f>
        <v>357.4</v>
      </c>
      <c r="F21" s="7" t="n">
        <f aca="false">IF(F$5="","",IF(F8="AFP",ROUND(F19*INDEX(TablaAFP,MATCH(F9,ListaAFP,0),2),2),0))</f>
        <v>0</v>
      </c>
      <c r="G21" s="7" t="n">
        <f aca="false">IF(G$5="","",IF(G8="AFP",ROUND(G19*INDEX(TablaAFP,MATCH(G9,ListaAFP,0),2),2),0))</f>
        <v>0</v>
      </c>
      <c r="H21" s="7" t="str">
        <f aca="false">IF(H$5="","",IF(H8="AFP",ROUND(H19*INDEX(TablaAFP,MATCH(H9,ListaAFP,0),2),2),0))</f>
        <v/>
      </c>
      <c r="I21" s="7" t="str">
        <f aca="false">IF(I$5="","",IF(I8="AFP",ROUND(I19*INDEX(TablaAFP,MATCH(I9,ListaAFP,0),2),2),0))</f>
        <v/>
      </c>
    </row>
    <row r="22" customFormat="false" ht="15" hidden="false" customHeight="false" outlineLevel="0" collapsed="false">
      <c r="A22" s="11" t="s">
        <v>84</v>
      </c>
      <c r="B22" s="7" t="n">
        <f aca="false">IF(B$5="","",IF(B8="AFP",ROUND(B19*INDEX(TablaAFP,MATCH(B9,ListaAFP,0),3),2),0))</f>
        <v>0</v>
      </c>
      <c r="C22" s="7" t="n">
        <f aca="false">IF(C$5="","",IF(C8="AFP",ROUND(C19*INDEX(TablaAFP,MATCH(C9,ListaAFP,0),3),2),0))</f>
        <v>0</v>
      </c>
      <c r="D22" s="7" t="n">
        <f aca="false">IF(D$5="","",IF(D8="AFP",ROUND(D19*INDEX(TablaAFP,MATCH(D9,ListaAFP,0),3),2),0))</f>
        <v>52.05</v>
      </c>
      <c r="E22" s="7" t="n">
        <f aca="false">IF(E$5="","",IF(E8="AFP",ROUND(E19*INDEX(TablaAFP,MATCH(E9,ListaAFP,0),3),2),0))</f>
        <v>57.18</v>
      </c>
      <c r="F22" s="7" t="n">
        <f aca="false">IF(F$5="","",IF(F8="AFP",ROUND(F19*INDEX(TablaAFP,MATCH(F9,ListaAFP,0),3),2),0))</f>
        <v>0</v>
      </c>
      <c r="G22" s="7" t="n">
        <f aca="false">IF(G$5="","",IF(G8="AFP",ROUND(G19*INDEX(TablaAFP,MATCH(G9,ListaAFP,0),3),2),0))</f>
        <v>0</v>
      </c>
      <c r="H22" s="7" t="str">
        <f aca="false">IF(H$5="","",IF(H8="AFP",ROUND(H19*INDEX(TablaAFP,MATCH(H9,ListaAFP,0),3),2),0))</f>
        <v/>
      </c>
      <c r="I22" s="7" t="str">
        <f aca="false">IF(I$5="","",IF(I8="AFP",ROUND(I19*INDEX(TablaAFP,MATCH(I9,ListaAFP,0),3),2),0))</f>
        <v/>
      </c>
    </row>
    <row r="23" customFormat="false" ht="15" hidden="false" customHeight="false" outlineLevel="0" collapsed="false">
      <c r="A23" s="11" t="s">
        <v>86</v>
      </c>
      <c r="B23" s="7" t="n">
        <f aca="false">IF(B$5="","",IF(B8="AFP",ROUND(B19*INDEX(TablaAFP,MATCH(B9,ListaAFP,0),4),2),0))</f>
        <v>0</v>
      </c>
      <c r="C23" s="7" t="n">
        <f aca="false">IF(C$5="","",IF(C8="AFP",ROUND(C19*INDEX(TablaAFP,MATCH(C9,ListaAFP,0),4),2),0))</f>
        <v>0</v>
      </c>
      <c r="D23" s="7" t="n">
        <f aca="false">IF(D$5="","",IF(D8="AFP",ROUND(D19*INDEX(TablaAFP,MATCH(D9,ListaAFP,0),4),2),0))</f>
        <v>43.92</v>
      </c>
      <c r="E23" s="7" t="n">
        <f aca="false">IF(E$5="","",IF(E8="AFP",ROUND(E19*INDEX(TablaAFP,MATCH(E9,ListaAFP,0),4),2),0))</f>
        <v>48.25</v>
      </c>
      <c r="F23" s="7" t="n">
        <f aca="false">IF(F$5="","",IF(F8="AFP",ROUND(F19*INDEX(TablaAFP,MATCH(F9,ListaAFP,0),4),2),0))</f>
        <v>0</v>
      </c>
      <c r="G23" s="7" t="n">
        <f aca="false">IF(G$5="","",IF(G8="AFP",ROUND(G19*INDEX(TablaAFP,MATCH(G9,ListaAFP,0),4),2),0))</f>
        <v>0</v>
      </c>
      <c r="H23" s="7" t="str">
        <f aca="false">IF(H$5="","",IF(H8="AFP",ROUND(H19*INDEX(TablaAFP,MATCH(H9,ListaAFP,0),4),2),0))</f>
        <v/>
      </c>
      <c r="I23" s="7" t="str">
        <f aca="false">IF(I$5="","",IF(I8="AFP",ROUND(I19*INDEX(TablaAFP,MATCH(I9,ListaAFP,0),4),2),0))</f>
        <v/>
      </c>
    </row>
    <row r="24" customFormat="false" ht="15" hidden="false" customHeight="false" outlineLevel="0" collapsed="false">
      <c r="A24" s="11" t="s">
        <v>88</v>
      </c>
      <c r="B24" s="7" t="n">
        <f aca="false">IF(B$5="","",ROUND(B12,2))</f>
        <v>0</v>
      </c>
      <c r="C24" s="7" t="n">
        <f aca="false">IF(C$5="","",ROUND(C12,2))</f>
        <v>0</v>
      </c>
      <c r="D24" s="7" t="n">
        <f aca="false">IF(D$5="","",ROUND(D12,2))</f>
        <v>200</v>
      </c>
      <c r="E24" s="7" t="n">
        <f aca="false">IF(E$5="","",ROUND(E12,2))</f>
        <v>100</v>
      </c>
      <c r="F24" s="7" t="n">
        <f aca="false">IF(F$5="","",ROUND(F12,2))</f>
        <v>200</v>
      </c>
      <c r="G24" s="7" t="n">
        <f aca="false">IF(G$5="","",ROUND(G12,2))</f>
        <v>0</v>
      </c>
      <c r="H24" s="7" t="str">
        <f aca="false">IF(H$5="","",ROUND(H12,2))</f>
        <v/>
      </c>
      <c r="I24" s="7" t="str">
        <f aca="false">IF(I$5="","",ROUND(I12,2))</f>
        <v/>
      </c>
    </row>
    <row r="25" customFormat="false" ht="15" hidden="false" customHeight="false" outlineLevel="0" collapsed="false">
      <c r="A25" s="10" t="s">
        <v>90</v>
      </c>
      <c r="B25" s="19" t="n">
        <f aca="false">IF(B$5="","",SUM(B20:B24))</f>
        <v>325</v>
      </c>
      <c r="C25" s="19" t="n">
        <f aca="false">IF(C$5="","",SUM(C20:C24))</f>
        <v>226.59</v>
      </c>
      <c r="D25" s="19" t="n">
        <f aca="false">IF(D$5="","",SUM(D20:D24))</f>
        <v>621.27</v>
      </c>
      <c r="E25" s="19" t="n">
        <f aca="false">IF(E$5="","",SUM(E20:E24))</f>
        <v>562.83</v>
      </c>
      <c r="F25" s="19" t="n">
        <f aca="false">IF(F$5="","",SUM(F20:F24))</f>
        <v>622.89</v>
      </c>
      <c r="G25" s="19" t="n">
        <f aca="false">IF(G$5="","",SUM(G20:G24))</f>
        <v>249.99</v>
      </c>
      <c r="H25" s="19" t="str">
        <f aca="false">IF(H$5="","",SUM(H20:H24))</f>
        <v/>
      </c>
      <c r="I25" s="19" t="str">
        <f aca="false">IF(I$5="","",SUM(I20:I24))</f>
        <v/>
      </c>
    </row>
    <row r="26" customFormat="false" ht="15" hidden="false" customHeight="false" outlineLevel="0" collapsed="false">
      <c r="A26" s="10" t="s">
        <v>93</v>
      </c>
      <c r="B26" s="23" t="n">
        <f aca="false">IF(B$5="","",B19-B25)</f>
        <v>2175</v>
      </c>
      <c r="C26" s="23" t="n">
        <f aca="false">IF(C$5="","",C19-C25)</f>
        <v>1516.41</v>
      </c>
      <c r="D26" s="23" t="n">
        <f aca="false">IF(D$5="","",D19-D25)</f>
        <v>2631.73</v>
      </c>
      <c r="E26" s="23" t="n">
        <f aca="false">IF(E$5="","",E19-E25)</f>
        <v>3011.17</v>
      </c>
      <c r="F26" s="23" t="n">
        <f aca="false">IF(F$5="","",F19-F25)</f>
        <v>2630.11</v>
      </c>
      <c r="G26" s="23" t="n">
        <f aca="false">IF(G$5="","",G19-G25)</f>
        <v>1673.01</v>
      </c>
      <c r="H26" s="23" t="str">
        <f aca="false">IF(H$5="","",H19-H25)</f>
        <v/>
      </c>
      <c r="I26" s="23" t="str">
        <f aca="false">IF(I$5="","",I19-I25)</f>
        <v/>
      </c>
    </row>
    <row r="27" customFormat="false" ht="15" hidden="false" customHeight="false" outlineLevel="0" collapsed="false">
      <c r="A27" s="11" t="s">
        <v>118</v>
      </c>
      <c r="B27" s="7" t="n">
        <f aca="false">IF(B$5="","",ROUND(B19*TasaEsSalud,2))</f>
        <v>225</v>
      </c>
      <c r="C27" s="7" t="n">
        <f aca="false">IF(C$5="","",ROUND(C19*TasaEsSalud,2))</f>
        <v>156.87</v>
      </c>
      <c r="D27" s="7" t="n">
        <f aca="false">IF(D$5="","",ROUND(D19*TasaEsSalud,2))</f>
        <v>292.77</v>
      </c>
      <c r="E27" s="7" t="n">
        <f aca="false">IF(E$5="","",ROUND(E19*TasaEsSalud,2))</f>
        <v>321.66</v>
      </c>
      <c r="F27" s="7" t="n">
        <f aca="false">IF(F$5="","",ROUND(F19*TasaEsSalud,2))</f>
        <v>292.77</v>
      </c>
      <c r="G27" s="7" t="n">
        <f aca="false">IF(G$5="","",ROUND(G19*TasaEsSalud,2))</f>
        <v>173.07</v>
      </c>
      <c r="H27" s="7" t="str">
        <f aca="false">IF(H$5="","",ROUND(H19*TasaEsSalud,2))</f>
        <v/>
      </c>
      <c r="I27" s="7" t="str">
        <f aca="false">IF(I$5="","",ROUND(I19*TasaEsSalud,2))</f>
        <v/>
      </c>
    </row>
    <row r="28" customFormat="false" ht="15" hidden="false" customHeight="false" outlineLevel="0" collapsed="false">
      <c r="A28" s="11" t="s">
        <v>119</v>
      </c>
      <c r="B28" s="7" t="n">
        <f aca="false">IF(B$5="","",B19+B27)</f>
        <v>2725</v>
      </c>
      <c r="C28" s="7" t="n">
        <f aca="false">IF(C$5="","",C19+C27)</f>
        <v>1899.87</v>
      </c>
      <c r="D28" s="7" t="n">
        <f aca="false">IF(D$5="","",D19+D27)</f>
        <v>3545.77</v>
      </c>
      <c r="E28" s="7" t="n">
        <f aca="false">IF(E$5="","",E19+E27)</f>
        <v>3895.66</v>
      </c>
      <c r="F28" s="7" t="n">
        <f aca="false">IF(F$5="","",F19+F27)</f>
        <v>3545.77</v>
      </c>
      <c r="G28" s="7" t="n">
        <f aca="false">IF(G$5="","",G19+G27)</f>
        <v>2096.07</v>
      </c>
      <c r="H28" s="7" t="str">
        <f aca="false">IF(H$5="","",H19+H27)</f>
        <v/>
      </c>
      <c r="I28" s="7" t="str">
        <f aca="false">IF(I$5="","",I19+I27)</f>
        <v/>
      </c>
    </row>
    <row r="29" customFormat="false" ht="15" hidden="false" customHeight="false" outlineLevel="0" collapsed="false">
      <c r="A29" s="11" t="s">
        <v>101</v>
      </c>
      <c r="B29" s="22" t="n">
        <f aca="false">IF(B$5="","",IF(B19=0,0,B26/B19))</f>
        <v>0.87</v>
      </c>
      <c r="C29" s="22" t="n">
        <f aca="false">IF(C$5="","",IF(C19=0,0,C26/C19))</f>
        <v>0.87</v>
      </c>
      <c r="D29" s="22" t="n">
        <f aca="false">IF(D$5="","",IF(D19=0,0,D26/D19))</f>
        <v>0.809016292652936</v>
      </c>
      <c r="E29" s="22" t="n">
        <f aca="false">IF(E$5="","",IF(E19=0,0,E26/E19))</f>
        <v>0.842520984890879</v>
      </c>
      <c r="F29" s="22" t="n">
        <f aca="false">IF(F$5="","",IF(F19=0,0,F26/F19))</f>
        <v>0.808518290808485</v>
      </c>
      <c r="G29" s="22" t="n">
        <f aca="false">IF(G$5="","",IF(G19=0,0,G26/G19))</f>
        <v>0.87</v>
      </c>
      <c r="H29" s="22" t="str">
        <f aca="false">IF(H$5="","",IF(H19=0,0,H26/H19))</f>
        <v/>
      </c>
      <c r="I29" s="22" t="str">
        <f aca="false">IF(I$5="","",IF(I19=0,0,I26/I19))</f>
        <v/>
      </c>
    </row>
    <row r="31" customFormat="false" ht="15" hidden="false" customHeight="false" outlineLevel="0" collapsed="false">
      <c r="A31" s="10" t="s">
        <v>120</v>
      </c>
    </row>
    <row r="32" customFormat="false" ht="15" hidden="false" customHeight="false" outlineLevel="0" collapsed="false">
      <c r="A32" s="0" t="s">
        <v>121</v>
      </c>
      <c r="B32" s="24" t="n">
        <v>2175</v>
      </c>
      <c r="C32" s="24" t="n">
        <v>1516.41</v>
      </c>
      <c r="D32" s="24" t="n">
        <v>2631.73</v>
      </c>
      <c r="E32" s="2" t="s">
        <v>122</v>
      </c>
    </row>
    <row r="33" customFormat="false" ht="15" hidden="false" customHeight="false" outlineLevel="0" collapsed="false">
      <c r="A33" s="0" t="s">
        <v>123</v>
      </c>
      <c r="B33" s="25" t="n">
        <f aca="false">B26-B32</f>
        <v>0</v>
      </c>
      <c r="C33" s="25" t="n">
        <f aca="false">C26-C32</f>
        <v>0</v>
      </c>
      <c r="D33" s="25" t="n">
        <f aca="false">D26-D32</f>
        <v>0</v>
      </c>
    </row>
    <row r="34" customFormat="false" ht="15" hidden="false" customHeight="false" outlineLevel="0" collapsed="false">
      <c r="A34" s="0" t="s">
        <v>124</v>
      </c>
      <c r="B34" s="24" t="n">
        <v>2175</v>
      </c>
      <c r="C34" s="24" t="n">
        <v>1516.41</v>
      </c>
      <c r="D34" s="24" t="n">
        <v>2631.73</v>
      </c>
      <c r="E34" s="24" t="n">
        <v>3011.17</v>
      </c>
    </row>
    <row r="35" customFormat="false" ht="15" hidden="false" customHeight="false" outlineLevel="0" collapsed="false">
      <c r="A35" s="0" t="s">
        <v>125</v>
      </c>
      <c r="B35" s="25" t="n">
        <f aca="false">B26-B34</f>
        <v>0</v>
      </c>
      <c r="C35" s="25" t="n">
        <f aca="false">C26-C34</f>
        <v>0</v>
      </c>
      <c r="D35" s="25" t="n">
        <f aca="false">D26-D34</f>
        <v>0</v>
      </c>
      <c r="E35" s="25" t="n">
        <f aca="false">E26-E34</f>
        <v>0</v>
      </c>
    </row>
    <row r="37" customFormat="false" ht="15" hidden="false" customHeight="false" outlineLevel="0" collapsed="false">
      <c r="A37" s="10" t="s">
        <v>126</v>
      </c>
    </row>
    <row r="38" customFormat="false" ht="26.85" hidden="false" customHeight="false" outlineLevel="0" collapsed="false">
      <c r="A38" s="3" t="s">
        <v>127</v>
      </c>
      <c r="B38" s="3" t="s">
        <v>128</v>
      </c>
      <c r="C38" s="3" t="s">
        <v>129</v>
      </c>
      <c r="D38" s="3" t="s">
        <v>130</v>
      </c>
      <c r="E38" s="3" t="s">
        <v>5</v>
      </c>
    </row>
    <row r="39" customFormat="false" ht="15" hidden="false" customHeight="false" outlineLevel="0" collapsed="false">
      <c r="A39" s="11" t="s">
        <v>131</v>
      </c>
      <c r="B39" s="26"/>
      <c r="C39" s="27" t="n">
        <f aca="false">H5</f>
        <v>0</v>
      </c>
      <c r="D39" s="26"/>
      <c r="E39" s="26"/>
    </row>
    <row r="40" customFormat="false" ht="15" hidden="false" customHeight="false" outlineLevel="0" collapsed="false">
      <c r="A40" s="11" t="s">
        <v>132</v>
      </c>
      <c r="B40" s="26"/>
      <c r="C40" s="27" t="n">
        <f aca="false">I5</f>
        <v>0</v>
      </c>
      <c r="D40" s="26"/>
      <c r="E40" s="2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133</v>
      </c>
    </row>
    <row r="2" customFormat="false" ht="102.95" hidden="false" customHeight="false" outlineLevel="0" collapsed="false">
      <c r="A2" s="28" t="s">
        <v>134</v>
      </c>
    </row>
    <row r="4" customFormat="false" ht="26.85" hidden="false" customHeight="false" outlineLevel="0" collapsed="false">
      <c r="A4" s="3" t="s">
        <v>62</v>
      </c>
      <c r="B4" s="3" t="s">
        <v>135</v>
      </c>
      <c r="C4" s="3" t="s">
        <v>136</v>
      </c>
      <c r="D4" s="3" t="s">
        <v>137</v>
      </c>
      <c r="E4" s="3" t="s">
        <v>138</v>
      </c>
    </row>
    <row r="5" customFormat="false" ht="39.55" hidden="false" customHeight="false" outlineLevel="0" collapsed="false">
      <c r="A5" s="29" t="s">
        <v>67</v>
      </c>
      <c r="B5" s="30" t="s">
        <v>139</v>
      </c>
      <c r="C5" s="31" t="str">
        <f aca="false">_xlfn.FORMULATEXT(Boleta!C17)</f>
        <v>=ROUND(C6*C7/DiasMes,2)</v>
      </c>
      <c r="D5" s="30" t="s">
        <v>140</v>
      </c>
      <c r="E5" s="32" t="n">
        <f aca="false">Casos!D14</f>
        <v>3000</v>
      </c>
    </row>
    <row r="6" customFormat="false" ht="26.85" hidden="false" customHeight="false" outlineLevel="0" collapsed="false">
      <c r="A6" s="29" t="s">
        <v>69</v>
      </c>
      <c r="B6" s="30" t="s">
        <v>141</v>
      </c>
      <c r="C6" s="31" t="str">
        <f aca="false">_xlfn.FORMULATEXT(Boleta!C18)</f>
        <v>=IF(C8="Sí",AsigFam,0)</v>
      </c>
      <c r="D6" s="30" t="s">
        <v>142</v>
      </c>
      <c r="E6" s="32" t="n">
        <f aca="false">Casos!D15</f>
        <v>123</v>
      </c>
    </row>
    <row r="7" customFormat="false" ht="26.85" hidden="false" customHeight="false" outlineLevel="0" collapsed="false">
      <c r="A7" s="29" t="s">
        <v>117</v>
      </c>
      <c r="B7" s="30" t="s">
        <v>143</v>
      </c>
      <c r="C7" s="31" t="str">
        <f aca="false">_xlfn.FORMULATEXT(Boleta!C19)</f>
        <v>=C6/DiasMes/HorasDia</v>
      </c>
      <c r="D7" s="30" t="s">
        <v>144</v>
      </c>
      <c r="E7" s="33" t="n">
        <f aca="false">Casos!D16</f>
        <v>12.5</v>
      </c>
    </row>
    <row r="8" customFormat="false" ht="26.85" hidden="false" customHeight="false" outlineLevel="0" collapsed="false">
      <c r="A8" s="29" t="s">
        <v>56</v>
      </c>
      <c r="B8" s="30" t="s">
        <v>145</v>
      </c>
      <c r="C8" s="31" t="str">
        <f aca="false">_xlfn.FORMULATEXT(Boleta!C20)</f>
        <v>=ROUND(C19*FactorHE25*C11,2)</v>
      </c>
      <c r="D8" s="30" t="s">
        <v>146</v>
      </c>
      <c r="E8" s="32" t="n">
        <f aca="false">Casos!D17</f>
        <v>62.5</v>
      </c>
    </row>
    <row r="9" customFormat="false" ht="26.85" hidden="false" customHeight="false" outlineLevel="0" collapsed="false">
      <c r="A9" s="29" t="s">
        <v>58</v>
      </c>
      <c r="B9" s="30" t="s">
        <v>147</v>
      </c>
      <c r="C9" s="31" t="str">
        <f aca="false">_xlfn.FORMULATEXT(Boleta!C21)</f>
        <v>=ROUND(C19*FactorHE35*C12,2)</v>
      </c>
      <c r="D9" s="30" t="s">
        <v>148</v>
      </c>
      <c r="E9" s="32" t="n">
        <f aca="false">Casos!D18</f>
        <v>67.5</v>
      </c>
    </row>
    <row r="10" customFormat="false" ht="26.85" hidden="false" customHeight="false" outlineLevel="0" collapsed="false">
      <c r="A10" s="29" t="s">
        <v>77</v>
      </c>
      <c r="B10" s="30" t="s">
        <v>149</v>
      </c>
      <c r="C10" s="31" t="str">
        <f aca="false">_xlfn.FORMULATEXT(Boleta!C22)</f>
        <v>=C17+C18+C20+C21</v>
      </c>
      <c r="D10" s="30" t="s">
        <v>150</v>
      </c>
      <c r="E10" s="32" t="n">
        <f aca="false">Casos!D19</f>
        <v>3253</v>
      </c>
    </row>
    <row r="11" customFormat="false" ht="26.85" hidden="false" customHeight="false" outlineLevel="0" collapsed="false">
      <c r="A11" s="29" t="s">
        <v>115</v>
      </c>
      <c r="B11" s="30" t="s">
        <v>151</v>
      </c>
      <c r="C11" s="31" t="str">
        <f aca="false">_xlfn.FORMULATEXT(Boleta!C24)</f>
        <v>=IF(C9="ONP",ROUND(C22*TasaONP,2),0)</v>
      </c>
      <c r="D11" s="30" t="s">
        <v>152</v>
      </c>
      <c r="E11" s="32" t="n">
        <f aca="false">Casos!D20</f>
        <v>0</v>
      </c>
    </row>
    <row r="12" customFormat="false" ht="39.55" hidden="false" customHeight="false" outlineLevel="0" collapsed="false">
      <c r="A12" s="29" t="s">
        <v>82</v>
      </c>
      <c r="B12" s="30" t="s">
        <v>153</v>
      </c>
      <c r="C12" s="31" t="str">
        <f aca="false">_xlfn.FORMULATEXT(Boleta!C25)</f>
        <v>=IF(C9="AFP",ROUND(C22*INDEX(TablaAFP,MATCH(C10,ListaAFP,0),2),2),0)</v>
      </c>
      <c r="D12" s="30" t="s">
        <v>154</v>
      </c>
      <c r="E12" s="32" t="n">
        <f aca="false">Casos!D21</f>
        <v>325.3</v>
      </c>
    </row>
    <row r="13" customFormat="false" ht="39.55" hidden="false" customHeight="false" outlineLevel="0" collapsed="false">
      <c r="A13" s="29" t="s">
        <v>84</v>
      </c>
      <c r="B13" s="30" t="s">
        <v>155</v>
      </c>
      <c r="C13" s="31" t="str">
        <f aca="false">_xlfn.FORMULATEXT(Boleta!C26)</f>
        <v>=IF(C9="AFP",ROUND(C22*INDEX(TablaAFP,MATCH(C10,ListaAFP,0),3),2),0)</v>
      </c>
      <c r="D13" s="30" t="s">
        <v>156</v>
      </c>
      <c r="E13" s="32" t="n">
        <f aca="false">Casos!D22</f>
        <v>52.05</v>
      </c>
    </row>
    <row r="14" customFormat="false" ht="39.55" hidden="false" customHeight="false" outlineLevel="0" collapsed="false">
      <c r="A14" s="29" t="s">
        <v>86</v>
      </c>
      <c r="B14" s="30" t="s">
        <v>157</v>
      </c>
      <c r="C14" s="31" t="str">
        <f aca="false">_xlfn.FORMULATEXT(Boleta!C27)</f>
        <v>=IF(C9="AFP",ROUND(C22*INDEX(TablaAFP,MATCH(C10,ListaAFP,0),4),2),0)</v>
      </c>
      <c r="D14" s="30" t="s">
        <v>158</v>
      </c>
      <c r="E14" s="32" t="n">
        <f aca="false">Casos!D23</f>
        <v>43.92</v>
      </c>
    </row>
    <row r="15" customFormat="false" ht="15" hidden="false" customHeight="false" outlineLevel="0" collapsed="false">
      <c r="A15" s="29" t="s">
        <v>88</v>
      </c>
      <c r="B15" s="30" t="s">
        <v>159</v>
      </c>
      <c r="C15" s="31" t="str">
        <f aca="false">_xlfn.FORMULATEXT(Boleta!C28)</f>
        <v>=ROUND(C13,2)</v>
      </c>
      <c r="D15" s="30" t="s">
        <v>160</v>
      </c>
      <c r="E15" s="32" t="n">
        <f aca="false">Casos!D24</f>
        <v>200</v>
      </c>
    </row>
    <row r="16" customFormat="false" ht="26.85" hidden="false" customHeight="false" outlineLevel="0" collapsed="false">
      <c r="A16" s="29" t="s">
        <v>90</v>
      </c>
      <c r="B16" s="30" t="s">
        <v>161</v>
      </c>
      <c r="C16" s="31" t="str">
        <f aca="false">_xlfn.FORMULATEXT(Boleta!C29)</f>
        <v>=SUM(C24:C28)</v>
      </c>
      <c r="D16" s="30" t="s">
        <v>162</v>
      </c>
      <c r="E16" s="32" t="n">
        <f aca="false">Casos!D25</f>
        <v>621.27</v>
      </c>
    </row>
    <row r="17" customFormat="false" ht="15" hidden="false" customHeight="false" outlineLevel="0" collapsed="false">
      <c r="A17" s="29" t="s">
        <v>163</v>
      </c>
      <c r="B17" s="30" t="s">
        <v>164</v>
      </c>
      <c r="C17" s="31" t="str">
        <f aca="false">_xlfn.FORMULATEXT(Boleta!C31)</f>
        <v>=C22-C29</v>
      </c>
      <c r="D17" s="30" t="s">
        <v>165</v>
      </c>
      <c r="E17" s="32" t="n">
        <f aca="false">Casos!D26</f>
        <v>2631.73</v>
      </c>
    </row>
    <row r="18" customFormat="false" ht="26.85" hidden="false" customHeight="false" outlineLevel="0" collapsed="false">
      <c r="A18" s="29" t="s">
        <v>166</v>
      </c>
      <c r="B18" s="30" t="s">
        <v>167</v>
      </c>
      <c r="C18" s="31" t="str">
        <f aca="false">_xlfn.FORMULATEXT(Boleta!C33)</f>
        <v>=ROUND(C22*TasaEsSalud,2)</v>
      </c>
      <c r="D18" s="30" t="s">
        <v>168</v>
      </c>
      <c r="E18" s="32" t="n">
        <f aca="false">Casos!D27</f>
        <v>292.77</v>
      </c>
    </row>
    <row r="21" customFormat="false" ht="17.35" hidden="false" customHeight="false" outlineLevel="0" collapsed="false">
      <c r="A21" s="1" t="s">
        <v>169</v>
      </c>
    </row>
    <row r="22" customFormat="false" ht="15" hidden="false" customHeight="false" outlineLevel="0" collapsed="false">
      <c r="A22" s="3" t="s">
        <v>170</v>
      </c>
      <c r="B22" s="3" t="s">
        <v>171</v>
      </c>
      <c r="C22" s="3" t="s">
        <v>172</v>
      </c>
      <c r="D22" s="3"/>
      <c r="E22" s="3"/>
    </row>
    <row r="23" customFormat="false" ht="120" hidden="false" customHeight="true" outlineLevel="0" collapsed="false">
      <c r="A23" s="29" t="s">
        <v>173</v>
      </c>
      <c r="B23" s="30" t="s">
        <v>174</v>
      </c>
      <c r="C23" s="32" t="n">
        <f aca="false">Casos!D26-Casos!F26</f>
        <v>1.61999999999989</v>
      </c>
    </row>
    <row r="24" customFormat="false" ht="120" hidden="false" customHeight="true" outlineLevel="0" collapsed="false">
      <c r="A24" s="29" t="s">
        <v>175</v>
      </c>
      <c r="B24" s="30" t="s">
        <v>176</v>
      </c>
      <c r="C24" s="34" t="n">
        <f aca="false">Casos!D26/Casos!D28</f>
        <v>0.7422167822504</v>
      </c>
    </row>
    <row r="25" customFormat="false" ht="120" hidden="false" customHeight="true" outlineLevel="0" collapsed="false">
      <c r="A25" s="29" t="s">
        <v>177</v>
      </c>
      <c r="B25" s="30" t="s">
        <v>178</v>
      </c>
      <c r="C25" s="32" t="n">
        <f aca="false">Casos!G26-Casos!C26</f>
        <v>156.6</v>
      </c>
    </row>
    <row r="26" customFormat="false" ht="120" hidden="false" customHeight="true" outlineLevel="0" collapsed="false">
      <c r="A26" s="29" t="s">
        <v>179</v>
      </c>
      <c r="B26" s="30" t="s">
        <v>180</v>
      </c>
      <c r="C26" s="34" t="n">
        <f aca="false">(Casos!D17+Casos!D18)/Casos!D19</f>
        <v>0.0399631109744851</v>
      </c>
    </row>
    <row r="27" customFormat="false" ht="120" hidden="false" customHeight="true" outlineLevel="0" collapsed="false">
      <c r="A27" s="29" t="s">
        <v>181</v>
      </c>
      <c r="B27" s="30" t="s">
        <v>182</v>
      </c>
      <c r="C27" s="34" t="str">
        <f aca="false">IF(Casos!H5="","Falta el sueldo",Casos!H29)</f>
        <v>Falta el sueldo</v>
      </c>
    </row>
    <row r="30" customFormat="false" ht="17.35" hidden="false" customHeight="false" outlineLevel="0" collapsed="false">
      <c r="A30" s="1" t="s">
        <v>183</v>
      </c>
    </row>
    <row r="31" customFormat="false" ht="15" hidden="false" customHeight="false" outlineLevel="0" collapsed="false">
      <c r="A31" s="3" t="s">
        <v>184</v>
      </c>
      <c r="B31" s="3" t="s">
        <v>3</v>
      </c>
      <c r="C31" s="3" t="s">
        <v>4</v>
      </c>
      <c r="D31" s="3" t="s">
        <v>5</v>
      </c>
      <c r="E31" s="3"/>
    </row>
    <row r="32" customFormat="false" ht="39.55" hidden="false" customHeight="false" outlineLevel="0" collapsed="false">
      <c r="A32" s="30" t="s">
        <v>185</v>
      </c>
      <c r="B32" s="30" t="s">
        <v>186</v>
      </c>
      <c r="C32" s="30" t="s">
        <v>187</v>
      </c>
      <c r="D32" s="30" t="s">
        <v>8</v>
      </c>
    </row>
    <row r="33" customFormat="false" ht="15" hidden="false" customHeight="false" outlineLevel="0" collapsed="false">
      <c r="A33" s="30" t="s">
        <v>69</v>
      </c>
      <c r="B33" s="30" t="s">
        <v>188</v>
      </c>
      <c r="C33" s="30" t="s">
        <v>10</v>
      </c>
      <c r="D33" s="30" t="s">
        <v>8</v>
      </c>
    </row>
    <row r="34" customFormat="false" ht="15" hidden="false" customHeight="false" outlineLevel="0" collapsed="false">
      <c r="A34" s="30" t="s">
        <v>115</v>
      </c>
      <c r="B34" s="30" t="s">
        <v>189</v>
      </c>
      <c r="C34" s="30" t="s">
        <v>22</v>
      </c>
      <c r="D34" s="30" t="s">
        <v>8</v>
      </c>
    </row>
    <row r="35" customFormat="false" ht="15" hidden="false" customHeight="false" outlineLevel="0" collapsed="false">
      <c r="A35" s="30" t="s">
        <v>166</v>
      </c>
      <c r="B35" s="30" t="s">
        <v>190</v>
      </c>
      <c r="C35" s="30" t="s">
        <v>24</v>
      </c>
      <c r="D35" s="30" t="s">
        <v>8</v>
      </c>
    </row>
    <row r="36" customFormat="false" ht="26.85" hidden="false" customHeight="false" outlineLevel="0" collapsed="false">
      <c r="A36" s="30" t="s">
        <v>191</v>
      </c>
      <c r="B36" s="30" t="s">
        <v>192</v>
      </c>
      <c r="C36" s="30" t="s">
        <v>193</v>
      </c>
      <c r="D36" s="30" t="s">
        <v>8</v>
      </c>
    </row>
    <row r="37" customFormat="false" ht="15" hidden="false" customHeight="false" outlineLevel="0" collapsed="false">
      <c r="A37" s="30" t="s">
        <v>194</v>
      </c>
      <c r="B37" s="30" t="s">
        <v>195</v>
      </c>
      <c r="C37" s="30" t="s">
        <v>196</v>
      </c>
      <c r="D37" s="30" t="s">
        <v>8</v>
      </c>
    </row>
    <row r="38" customFormat="false" ht="52.2" hidden="false" customHeight="false" outlineLevel="0" collapsed="false">
      <c r="A38" s="30" t="s">
        <v>197</v>
      </c>
      <c r="B38" s="30" t="s">
        <v>198</v>
      </c>
      <c r="C38" s="30" t="s">
        <v>199</v>
      </c>
      <c r="D38" s="30" t="s">
        <v>8</v>
      </c>
    </row>
    <row r="39" customFormat="false" ht="26.85" hidden="false" customHeight="false" outlineLevel="0" collapsed="false">
      <c r="A39" s="30" t="s">
        <v>30</v>
      </c>
      <c r="B39" s="30" t="s">
        <v>200</v>
      </c>
      <c r="C39" s="30" t="s">
        <v>201</v>
      </c>
      <c r="D39" s="30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2026-10-28T17:39:28Z</dcterms:created>
  <dc:creator>openpyxl</dc:creator>
  <dc:description/>
  <dc:language>en-US</dc:language>
  <cp:lastModifiedBy/>
  <dcterms:modified xsi:type="dcterms:W3CDTF">2026-10-28T17:39:28Z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