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Boleta" sheetId="2" state="visible" r:id="rId4"/>
    <sheet name="Casos" sheetId="3" state="visible" r:id="rId5"/>
    <sheet name="Explicación" sheetId="4" state="visible" r:id="rId6"/>
  </sheets>
  <definedNames>
    <definedName function="false" hidden="false" name="AsigFam" vbProcedure="false">Parámetros!$B$6</definedName>
    <definedName function="false" hidden="false" name="DiasMes" vbProcedure="false">Parámetros!$B$7</definedName>
    <definedName function="false" hidden="false" name="FactorHE25" vbProcedure="false">Parámetros!$B$9</definedName>
    <definedName function="false" hidden="false" name="FactorHE35" vbProcedure="false">Parámetros!$B$10</definedName>
    <definedName function="false" hidden="false" name="HorasDia" vbProcedure="false">Parámetros!$B$8</definedName>
    <definedName function="false" hidden="false" name="ListaAFP" vbProcedure="false">Parámetros!$A$17:$A$21</definedName>
    <definedName function="false" hidden="false" name="MesesAnio" vbProcedure="false">Parámetros!$B$29</definedName>
    <definedName function="false" hidden="false" name="NumGratif" vbProcedure="false">Parámetros!$B$30</definedName>
    <definedName function="false" hidden="false" name="PorcAsig" vbProcedure="false">Parámetros!$B$5</definedName>
    <definedName function="false" hidden="false" name="RMV" vbProcedure="false">Parámetros!$B$4</definedName>
    <definedName function="false" hidden="false" name="TablaAFP" vbProcedure="false">Parámetros!$A$17:$D$21</definedName>
    <definedName function="false" hidden="false" name="TasaBonif" vbProcedure="false">Parámetros!$B$31</definedName>
    <definedName function="false" hidden="false" name="TasaEsSalud" vbProcedure="false">Parámetros!$B$12</definedName>
    <definedName function="false" hidden="false" name="TasaONP" vbProcedure="false">Parámetros!$B$11</definedName>
    <definedName function="false" hidden="false" name="TramoDesde" vbProcedure="false">Parámetros!$B$34:$B$38</definedName>
    <definedName function="false" hidden="false" name="TramoHasta" vbProcedure="false">Parámetros!$C$34:$C$38</definedName>
    <definedName function="false" hidden="false" name="TramoTasa" vbProcedure="false">Parámetros!$D$34:$D$38</definedName>
    <definedName function="false" hidden="false" name="UIT" vbProcedure="false">Parámetros!$B$27</definedName>
    <definedName function="false" hidden="false" name="UITDeduc" vbProcedure="false">Parámetros!$B$28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3" authorId="0">
      <text>
        <r>
          <rPr>
            <sz val="10"/>
            <rFont val="Arial"/>
            <family val="2"/>
          </rPr>
          <t xml:space="preserve">Valores que da la clase Boleta (BoletaPagoTests.swift). Confírmalos con la captura del simulador.</t>
        </r>
      </text>
    </comment>
  </commentList>
</comments>
</file>

<file path=xl/sharedStrings.xml><?xml version="1.0" encoding="utf-8"?>
<sst xmlns="http://schemas.openxmlformats.org/spreadsheetml/2006/main" count="446" uniqueCount="289">
  <si>
    <t xml:space="preserve">Parámetros del cálculo (un solo lugar: las fórmulas solo los leen)</t>
  </si>
  <si>
    <t xml:space="preserve">Celdas en azul = valores escritos a mano. Si cambia una ley o una tasa, se cambia SOLO aquí.</t>
  </si>
  <si>
    <t xml:space="preserve">Parámetro</t>
  </si>
  <si>
    <t xml:space="preserve">Valor</t>
  </si>
  <si>
    <t xml:space="preserve">Fuente</t>
  </si>
  <si>
    <t xml:space="preserve">Fecha de consulta</t>
  </si>
  <si>
    <t xml:space="preserve">RMV (S/)</t>
  </si>
  <si>
    <t xml:space="preserve">D.S. N.º 015-2026-TR (El Peruano, 28/09/2026), vigente desde el 01/10/2026</t>
  </si>
  <si>
    <t xml:space="preserve">28/10/2026</t>
  </si>
  <si>
    <t xml:space="preserve">% asignación familiar</t>
  </si>
  <si>
    <t xml:space="preserve">Ley 25129</t>
  </si>
  <si>
    <t xml:space="preserve">Asignación familiar (S/)</t>
  </si>
  <si>
    <t xml:space="preserve">Calculado: RMV × 10%</t>
  </si>
  <si>
    <t xml:space="preserve">Días del mes</t>
  </si>
  <si>
    <t xml:space="preserve">Convención del enunciado (mes de 30 días)</t>
  </si>
  <si>
    <t xml:space="preserve">Horas por día</t>
  </si>
  <si>
    <t xml:space="preserve">Jornada ordinaria de 8 horas</t>
  </si>
  <si>
    <t xml:space="preserve">Factor horas extras 25%</t>
  </si>
  <si>
    <t xml:space="preserve">Normas de jornada y sobretiempo (primeras horas)</t>
  </si>
  <si>
    <t xml:space="preserve">Factor horas extras 35%</t>
  </si>
  <si>
    <t xml:space="preserve">Normas de jornada y sobretiempo (horas siguientes)</t>
  </si>
  <si>
    <t xml:space="preserve">Tasa ONP</t>
  </si>
  <si>
    <t xml:space="preserve">D.L. 19990</t>
  </si>
  <si>
    <t xml:space="preserve">Tasa EsSalud (empleador)</t>
  </si>
  <si>
    <t xml:space="preserve">Ley 26790</t>
  </si>
  <si>
    <t xml:space="preserve">Tasas de AFP (sobre el total de remuneraciones)</t>
  </si>
  <si>
    <t xml:space="preserve">AFP</t>
  </si>
  <si>
    <t xml:space="preserve">Fondo</t>
  </si>
  <si>
    <t xml:space="preserve">Comisión</t>
  </si>
  <si>
    <t xml:space="preserve">Seguro</t>
  </si>
  <si>
    <t xml:space="preserve">AFP Ejemplo</t>
  </si>
  <si>
    <t xml:space="preserve">Enunciado del tema (solo para los casos de prueba)</t>
  </si>
  <si>
    <t xml:space="preserve">Habitat</t>
  </si>
  <si>
    <t xml:space="preserve">SBS, comisión sobre flujo y prima de seguros, devengue oct-2026</t>
  </si>
  <si>
    <t xml:space="preserve">Integra</t>
  </si>
  <si>
    <t xml:space="preserve">Prima</t>
  </si>
  <si>
    <t xml:space="preserve">Profuturo</t>
  </si>
  <si>
    <t xml:space="preserve">Nota: las tasas reales son de comisión sobre flujo. Un afiliado con comisión mixta paga 0% sobre flujo (cobra sobre saldo), así que en un caso real se confirma el esquema del trabajador.</t>
  </si>
  <si>
    <t xml:space="preserve">Renta de 5.ª categoría (nivel 3 · reto, versión simplificada)</t>
  </si>
  <si>
    <t xml:space="preserve">UIT 2026 (S/)</t>
  </si>
  <si>
    <t xml:space="preserve">D.S. N.º 301-2025-EF</t>
  </si>
  <si>
    <t xml:space="preserve">UIT deducibles al año</t>
  </si>
  <si>
    <t xml:space="preserve">Art. 46 de la Ley del Impuesto a la Renta</t>
  </si>
  <si>
    <t xml:space="preserve">Meses que se proyectan</t>
  </si>
  <si>
    <t xml:space="preserve">Simplificación: mismo sueldo los 12 meses</t>
  </si>
  <si>
    <t xml:space="preserve">Gratificaciones al año</t>
  </si>
  <si>
    <t xml:space="preserve">Ley 27735 (julio y diciembre)</t>
  </si>
  <si>
    <t xml:space="preserve">Bonificación extraordinaria</t>
  </si>
  <si>
    <t xml:space="preserve">Ley 30334 (9% de cada gratificación)</t>
  </si>
  <si>
    <t xml:space="preserve">Tramo</t>
  </si>
  <si>
    <t xml:space="preserve">Desde (S/)</t>
  </si>
  <si>
    <t xml:space="preserve">Hasta (S/)</t>
  </si>
  <si>
    <t xml:space="preserve">Tasa</t>
  </si>
  <si>
    <t xml:space="preserve">Tramo en UIT</t>
  </si>
  <si>
    <t xml:space="preserve">1</t>
  </si>
  <si>
    <t xml:space="preserve">Hasta 5 UIT</t>
  </si>
  <si>
    <t xml:space="preserve">Art. 53 de la Ley del Impuesto a la Renta</t>
  </si>
  <si>
    <t xml:space="preserve">2</t>
  </si>
  <si>
    <t xml:space="preserve">Más de 5 hasta 20 UIT</t>
  </si>
  <si>
    <t xml:space="preserve">3</t>
  </si>
  <si>
    <t xml:space="preserve">Más de 20 hasta 35 UIT</t>
  </si>
  <si>
    <t xml:space="preserve">4</t>
  </si>
  <si>
    <t xml:space="preserve">Más de 35 hasta 45 UIT</t>
  </si>
  <si>
    <t xml:space="preserve">5</t>
  </si>
  <si>
    <t xml:space="preserve">Más de 45 UIT (sin tope)</t>
  </si>
  <si>
    <t xml:space="preserve">Boleta de ejemplo — cálculo del mes</t>
  </si>
  <si>
    <t xml:space="preserve">Escribe solo en las celdas amarillas. Todo lo demás son fórmulas (la columna D muestra la fórmula de cada monto).</t>
  </si>
  <si>
    <t xml:space="preserve">Empresa: Comercial Andina Ejemplo S.A.C. · RUC 20000000000 (ficticio)</t>
  </si>
  <si>
    <t xml:space="preserve">Dato de entrada</t>
  </si>
  <si>
    <t xml:space="preserve">Regla</t>
  </si>
  <si>
    <t xml:space="preserve">Nombre del trabajador</t>
  </si>
  <si>
    <t xml:space="preserve">Trabajador de ejemplo</t>
  </si>
  <si>
    <t xml:space="preserve">Ficticio</t>
  </si>
  <si>
    <t xml:space="preserve">Sueldo básico (S/)</t>
  </si>
  <si>
    <t xml:space="preserve">Mayor que cero</t>
  </si>
  <si>
    <t xml:space="preserve">Días laborados</t>
  </si>
  <si>
    <t xml:space="preserve">Entero entre 1 y 30</t>
  </si>
  <si>
    <t xml:space="preserve">¿Tiene hijos?</t>
  </si>
  <si>
    <t xml:space="preserve">Sí</t>
  </si>
  <si>
    <t xml:space="preserve">No / Sí</t>
  </si>
  <si>
    <t xml:space="preserve">Sistema de pensiones</t>
  </si>
  <si>
    <t xml:space="preserve">ONP / AFP</t>
  </si>
  <si>
    <t xml:space="preserve">Solo se usa si el sistema es AFP</t>
  </si>
  <si>
    <t xml:space="preserve">Horas extras al 25%</t>
  </si>
  <si>
    <t xml:space="preserve">Mayor o igual a cero</t>
  </si>
  <si>
    <t xml:space="preserve">Horas extras al 35%</t>
  </si>
  <si>
    <t xml:space="preserve">Adelantos (S/)</t>
  </si>
  <si>
    <t xml:space="preserve">¿Calcular renta 5.ª? (reto)</t>
  </si>
  <si>
    <t xml:space="preserve">No</t>
  </si>
  <si>
    <t xml:space="preserve">No / Sí. En los casos 1 a 4 va No</t>
  </si>
  <si>
    <t xml:space="preserve">Validación</t>
  </si>
  <si>
    <t xml:space="preserve">Bloque</t>
  </si>
  <si>
    <t xml:space="preserve">Concepto</t>
  </si>
  <si>
    <t xml:space="preserve">Monto (S/)</t>
  </si>
  <si>
    <t xml:space="preserve">Fórmula de la celda C</t>
  </si>
  <si>
    <t xml:space="preserve">En palabras</t>
  </si>
  <si>
    <t xml:space="preserve">REMUNERACIONES</t>
  </si>
  <si>
    <t xml:space="preserve">Sueldo computable</t>
  </si>
  <si>
    <t xml:space="preserve">Sueldo básico ÷ 30 × días laborados</t>
  </si>
  <si>
    <t xml:space="preserve">Asignación familiar</t>
  </si>
  <si>
    <t xml:space="preserve">Si tiene hijos, 10% de la RMV. No depende de los días</t>
  </si>
  <si>
    <t xml:space="preserve">Valor hora (dato intermedio)</t>
  </si>
  <si>
    <t xml:space="preserve">Sueldo básico ÷ 30 ÷ 8. No va en la boleta ni se redondea</t>
  </si>
  <si>
    <t xml:space="preserve">Horas extras 25%</t>
  </si>
  <si>
    <t xml:space="preserve">Valor hora × 1.25 × horas al 25%</t>
  </si>
  <si>
    <t xml:space="preserve">Horas extras 35%</t>
  </si>
  <si>
    <t xml:space="preserve">Valor hora × 1.35 × horas al 35%</t>
  </si>
  <si>
    <t xml:space="preserve">Total remuneraciones</t>
  </si>
  <si>
    <t xml:space="preserve">Suma de los conceptos (sin el valor hora)</t>
  </si>
  <si>
    <t xml:space="preserve">RETENCIONES / DESCUENTOS</t>
  </si>
  <si>
    <t xml:space="preserve">ONP (13%)</t>
  </si>
  <si>
    <t xml:space="preserve">Si está en ONP: 13% del total de remuneraciones</t>
  </si>
  <si>
    <t xml:space="preserve">AFP fondo</t>
  </si>
  <si>
    <t xml:space="preserve">Si está en AFP: total de remuneraciones × % de fondo de su AFP</t>
  </si>
  <si>
    <t xml:space="preserve">AFP comisión</t>
  </si>
  <si>
    <t xml:space="preserve">Si está en AFP: total de remuneraciones × % de comisión de su AFP</t>
  </si>
  <si>
    <t xml:space="preserve">AFP seguro</t>
  </si>
  <si>
    <t xml:space="preserve">Si está en AFP: total de remuneraciones × % de seguro de su AFP</t>
  </si>
  <si>
    <t xml:space="preserve">Renta 5.ª categoría (reto)</t>
  </si>
  <si>
    <t xml:space="preserve">Solo si se activa el reto: viene del cálculo de abajo</t>
  </si>
  <si>
    <t xml:space="preserve">Adelantos</t>
  </si>
  <si>
    <t xml:space="preserve">Se resta tal cual se ingresó</t>
  </si>
  <si>
    <t xml:space="preserve">Total descuentos</t>
  </si>
  <si>
    <t xml:space="preserve">Pensión (ONP o AFP) + renta + adelantos</t>
  </si>
  <si>
    <t xml:space="preserve">NETO</t>
  </si>
  <si>
    <t xml:space="preserve">NETO A PAGAR</t>
  </si>
  <si>
    <t xml:space="preserve">Total remuneraciones − total descuentos</t>
  </si>
  <si>
    <t xml:space="preserve">APORTACIONES DEL EMPLEADOR</t>
  </si>
  <si>
    <t xml:space="preserve">EsSalud (9%)</t>
  </si>
  <si>
    <t xml:space="preserve">9% del total de remuneraciones. Lo paga la empresa, no se descuenta</t>
  </si>
  <si>
    <t xml:space="preserve">EXTRA (análisis)</t>
  </si>
  <si>
    <t xml:space="preserve">Costo total para la empresa</t>
  </si>
  <si>
    <t xml:space="preserve">Total remuneraciones + EsSalud</t>
  </si>
  <si>
    <t xml:space="preserve">% del bruto que llega como neto</t>
  </si>
  <si>
    <t xml:space="preserve">Neto ÷ total remuneraciones</t>
  </si>
  <si>
    <t xml:space="preserve">RENTA 5.ª (reto)</t>
  </si>
  <si>
    <t xml:space="preserve">Gratificaciones del año</t>
  </si>
  <si>
    <t xml:space="preserve">(Sueldo básico + asignación familiar) × 2</t>
  </si>
  <si>
    <t xml:space="preserve">9% de las gratificaciones</t>
  </si>
  <si>
    <t xml:space="preserve">Renta bruta anual proyectada</t>
  </si>
  <si>
    <t xml:space="preserve">Total remuneraciones × 12 + gratificaciones + bonificación</t>
  </si>
  <si>
    <t xml:space="preserve">Deducción de 7 UIT</t>
  </si>
  <si>
    <t xml:space="preserve">7 × 5,500 = 38,500 que no pagan impuesto</t>
  </si>
  <si>
    <t xml:space="preserve">Renta neta anual</t>
  </si>
  <si>
    <t xml:space="preserve">Renta bruta − 7 UIT (si sale negativo, es 0)</t>
  </si>
  <si>
    <t xml:space="preserve">Impuesto anual</t>
  </si>
  <si>
    <t xml:space="preserve">Cada tasa (8%, 14%, 17%, 20%, 30%) solo sobre la parte de la renta que cae en su tramo</t>
  </si>
  <si>
    <t xml:space="preserve">Retención del mes</t>
  </si>
  <si>
    <t xml:space="preserve">Impuesto anual ÷ 12</t>
  </si>
  <si>
    <t xml:space="preserve">COMPARACIÓN (reto)</t>
  </si>
  <si>
    <t xml:space="preserve">Neto si estuviera en ONP</t>
  </si>
  <si>
    <t xml:space="preserve">El mismo mes cambiando solo la pensión a ONP</t>
  </si>
  <si>
    <t xml:space="preserve">Neto si estuviera en su AFP</t>
  </si>
  <si>
    <t xml:space="preserve">El mismo mes cambiando solo la pensión a la AFP elegida</t>
  </si>
  <si>
    <t xml:space="preserve">Diferencia (AFP − ONP)</t>
  </si>
  <si>
    <t xml:space="preserve">Positivo: deja más la AFP. Negativo: deja más la ONP</t>
  </si>
  <si>
    <t xml:space="preserve">Casos de prueba y casos propios (misma lógica que la hoja Boleta, una columna por caso)</t>
  </si>
  <si>
    <t xml:space="preserve">Amarillo = datos de entrada. En las columnas 'Propio' va el sueldo de una oferta laboral publicada (≥ RMV); anota el enlace y la fecha en la tabla de fuentes de abajo.</t>
  </si>
  <si>
    <t xml:space="preserve">Caso 1</t>
  </si>
  <si>
    <t xml:space="preserve">Caso 2</t>
  </si>
  <si>
    <t xml:space="preserve">Caso 3</t>
  </si>
  <si>
    <t xml:space="preserve">Caso 4 (evaluación)</t>
  </si>
  <si>
    <t xml:space="preserve">P1: caso 3 con ONP</t>
  </si>
  <si>
    <t xml:space="preserve">P3: caso 2 con 30 días</t>
  </si>
  <si>
    <t xml:space="preserve">Reto: caso 3 con renta 5.ª</t>
  </si>
  <si>
    <t xml:space="preserve">Propio · oferta 1</t>
  </si>
  <si>
    <t xml:space="preserve">Propio · oferta 2</t>
  </si>
  <si>
    <t xml:space="preserve">Sistema</t>
  </si>
  <si>
    <t xml:space="preserve">ONP</t>
  </si>
  <si>
    <t xml:space="preserve">¿Renta 5.ª?</t>
  </si>
  <si>
    <t xml:space="preserve">Cálculo</t>
  </si>
  <si>
    <t xml:space="preserve">Valor hora</t>
  </si>
  <si>
    <t xml:space="preserve">Renta 5.ª (reto)</t>
  </si>
  <si>
    <t xml:space="preserve">EsSalud (empleador)</t>
  </si>
  <si>
    <t xml:space="preserve">Costo para la empresa</t>
  </si>
  <si>
    <t xml:space="preserve">Renta neta anual (− 7 UIT)</t>
  </si>
  <si>
    <t xml:space="preserve">Retención mensual de renta</t>
  </si>
  <si>
    <t xml:space="preserve">Control cruzado</t>
  </si>
  <si>
    <t xml:space="preserve">Neto según el enunciado</t>
  </si>
  <si>
    <t xml:space="preserve">Lo revisa el docente</t>
  </si>
  <si>
    <t xml:space="preserve">—</t>
  </si>
  <si>
    <t xml:space="preserve">Diferencia Excel − enunciado</t>
  </si>
  <si>
    <t xml:space="preserve">Neto que muestra la app</t>
  </si>
  <si>
    <t xml:space="preserve">Diferencia Excel − app</t>
  </si>
  <si>
    <t xml:space="preserve">Fuente de los casos propios</t>
  </si>
  <si>
    <t xml:space="preserve">Caso</t>
  </si>
  <si>
    <t xml:space="preserve">Puesto / empresa de la oferta</t>
  </si>
  <si>
    <t xml:space="preserve">Sueldo (S/)</t>
  </si>
  <si>
    <t xml:space="preserve">Enlace</t>
  </si>
  <si>
    <t xml:space="preserve">Cómo se calcula la boleta, explicado para alguien que no sabe contabilidad</t>
  </si>
  <si>
    <t xml:space="preserve">Ejemplo numérico: Caso 3 (sueldo S/ 3,000, 30 días, con hijos, AFP Ejemplo, 4 h al 25%, 4 h al 35%, adelanto S/ 200). Regla general: cada concepto se redondea a 2 decimales y después se suman.</t>
  </si>
  <si>
    <t xml:space="preserve">La fórmula en palabras</t>
  </si>
  <si>
    <t xml:space="preserve">Fórmula en Excel (hoja Boleta)</t>
  </si>
  <si>
    <t xml:space="preserve">Ejemplo con el caso 3</t>
  </si>
  <si>
    <t xml:space="preserve">Resultado (S/)</t>
  </si>
  <si>
    <t xml:space="preserve">Lo que te toca del sueldo según los días que trabajaste. El mes se cuenta como de 30 días: divides el sueldo entre 30 para saber cuánto vale un día y lo multiplicas por los días laborados.</t>
  </si>
  <si>
    <t xml:space="preserve">3,000 ÷ 30 × 30</t>
  </si>
  <si>
    <t xml:space="preserve">Un monto fijo para quien tiene hijos: el 10% del sueldo mínimo (RMV). No baja aunque faltes días.</t>
  </si>
  <si>
    <t xml:space="preserve">10% × 1,230</t>
  </si>
  <si>
    <t xml:space="preserve">Cuánto vale una hora normal: sueldo entre 30 días y entre 8 horas. Solo sirve para las horas extras; no aparece en la boleta.</t>
  </si>
  <si>
    <t xml:space="preserve">3,000 ÷ 30 ÷ 8</t>
  </si>
  <si>
    <t xml:space="preserve">Las primeras horas extra se pagan un 25% más caras que una hora normal: valor hora × 1.25 × horas.</t>
  </si>
  <si>
    <t xml:space="preserve">12.50 × 1.25 × 4</t>
  </si>
  <si>
    <t xml:space="preserve">Las siguientes se pagan un 35% más caras: valor hora × 1.35 × horas.</t>
  </si>
  <si>
    <t xml:space="preserve">12.50 × 1.35 × 4</t>
  </si>
  <si>
    <t xml:space="preserve">Todo lo que ganaste en el mes antes de descuentos (el bruto).</t>
  </si>
  <si>
    <t xml:space="preserve">3,000 + 123 + 62.50 + 67.50</t>
  </si>
  <si>
    <t xml:space="preserve">Si estás en la ONP, se retiene el 13% del bruto para tu pensión.</t>
  </si>
  <si>
    <t xml:space="preserve">No aplica (está en AFP)</t>
  </si>
  <si>
    <t xml:space="preserve">Si estás en AFP, el 10% del bruto va a tu cuenta personal de jubilación.</t>
  </si>
  <si>
    <t xml:space="preserve">3,253 × 10%</t>
  </si>
  <si>
    <t xml:space="preserve">Lo que cobra la AFP por administrar tu dinero: un % del bruto (cambia según la AFP).</t>
  </si>
  <si>
    <t xml:space="preserve">3,253 × 1.60% = 52.048</t>
  </si>
  <si>
    <t xml:space="preserve">Un seguro de invalidez y sobrevivencia: otro % del bruto.</t>
  </si>
  <si>
    <t xml:space="preserve">3,253 × 1.35% = 43.9155</t>
  </si>
  <si>
    <t xml:space="preserve">Dinero que ya te dieron antes en el mes; se resta tal cual.</t>
  </si>
  <si>
    <t xml:space="preserve">200</t>
  </si>
  <si>
    <t xml:space="preserve">La pensión (ONP o AFP) más la renta (si aplica) y los adelantos.</t>
  </si>
  <si>
    <t xml:space="preserve">325.30 + 52.05 + 43.92 + 200</t>
  </si>
  <si>
    <t xml:space="preserve">Neto a pagar</t>
  </si>
  <si>
    <t xml:space="preserve">Lo que realmente llega a tu cuenta: bruto menos descuentos.</t>
  </si>
  <si>
    <t xml:space="preserve">3,253.00 − 621.27</t>
  </si>
  <si>
    <t xml:space="preserve">EsSalud</t>
  </si>
  <si>
    <t xml:space="preserve">Seguro de salud que paga la empresa aparte: 9% del bruto. NO se le quita al trabajador.</t>
  </si>
  <si>
    <t xml:space="preserve">3,253 × 9% = 292.77</t>
  </si>
  <si>
    <t xml:space="preserve">Nivel 3 (reto): renta de 5.ª categoría — ejemplo con el caso 3</t>
  </si>
  <si>
    <t xml:space="preserve">Paso</t>
  </si>
  <si>
    <t xml:space="preserve">En julio y diciembre se recibe un sueldo extra cada vez (sueldo + asignación familiar).</t>
  </si>
  <si>
    <t xml:space="preserve">(3,000 + 123) × 2</t>
  </si>
  <si>
    <t xml:space="preserve">Encima de cada gratificación se paga el 9% que la empresa ya no aporta a EsSalud.</t>
  </si>
  <si>
    <t xml:space="preserve">6,246 × 9%</t>
  </si>
  <si>
    <t xml:space="preserve">Renta anual proyectada</t>
  </si>
  <si>
    <t xml:space="preserve">Se imagina que ganas lo mismo todo el año: el bruto del mes × 12 + gratificaciones + bonificación.</t>
  </si>
  <si>
    <t xml:space="preserve">3,253 × 12 + 6,246 + 562.14</t>
  </si>
  <si>
    <t xml:space="preserve">Renta neta</t>
  </si>
  <si>
    <t xml:space="preserve">Los primeros 7 UIT (S/ 38,500) no pagan impuesto, así que se restan.</t>
  </si>
  <si>
    <t xml:space="preserve">45,844.14 − 38,500</t>
  </si>
  <si>
    <t xml:space="preserve">Funciona por escalones: el 8% solo sobre los primeros 5 UIT de renta neta, el 14% sobre lo que pasa de 5 hasta 20 UIT, y así. Aquí todo cae en el primer escalón.</t>
  </si>
  <si>
    <t xml:space="preserve">7,344.14 × 8%</t>
  </si>
  <si>
    <t xml:space="preserve">La empresa reparte ese impuesto en 12 partes y descuenta una cada mes.</t>
  </si>
  <si>
    <t xml:space="preserve">587.53 ÷ 12</t>
  </si>
  <si>
    <t xml:space="preserve">Neto con renta</t>
  </si>
  <si>
    <t xml:space="preserve">El neto del caso 3 baja por la retención.</t>
  </si>
  <si>
    <t xml:space="preserve">2,631.73 − 48.96</t>
  </si>
  <si>
    <t xml:space="preserve">Simplificación: se asume el mismo sueldo los 12 meses y se divide el impuesto entre 12. La SUNAT usa divisores distintos según el mes (12, 9, 8, 5, 4) y descuenta lo ya retenido; con un sueldo fijo, el resultado mensual es casi el mismo.</t>
  </si>
  <si>
    <t xml:space="preserve">Preguntas de análisis</t>
  </si>
  <si>
    <t xml:space="preserve">Pregunta</t>
  </si>
  <si>
    <t xml:space="preserve">Respuesta</t>
  </si>
  <si>
    <t xml:space="preserve">Dato clave (calculado)</t>
  </si>
  <si>
    <t xml:space="preserve">1. ONP o AFP (caso 3)</t>
  </si>
  <si>
    <t xml:space="preserve">Con ONP el neto sería S/ 2,630.11 y con AFP Ejemplo S/ 2,631.73: la AFP deja S/ 1.62 más este mes, porque su descuento total (12.95%) es un poco menor que el 13% de la ONP. Pero comparar porcentajes no basta: en la AFP el 10% del fondo es ahorro propio que se queda en tu cuenta y rinde (o pierde) según el mercado, mientras que en la ONP va a un fondo común y la pensión depende de cumplir los años de aportes. Además la comisión y el seguro cambian según la AFP. Lo que conviene depende de cuántos años vas a aportar, tu edad y la rentabilidad, no del descuento de un mes.</t>
  </si>
  <si>
    <t xml:space="preserve">2. Costo real para la empresa (caso 3)</t>
  </si>
  <si>
    <t xml:space="preserve">La empresa paga S/ 3,253.00 de remuneraciones más S/ 292.77 de EsSalud: el trabajador le cuesta S/ 3,545.77. De ese costo, el neto de S/ 2,631.73 es el 74.22%. Si sumamos el adelanto de S/ 200 que ya recibió en el mes, le llega el 79.86%.</t>
  </si>
  <si>
    <t xml:space="preserve">3. Días laborados (caso 2)</t>
  </si>
  <si>
    <t xml:space="preserve">Con 30 días el neto sería S/ 1,673.01 en vez de S/ 1,516.41: sube S/ 156.60. El bruto, en cambio, sube S/ 180 (3 días de sueldo). La diferencia en el neto es menor porque la ONP se queda con el 13% de esos S/ 180 (180 × 0.87 = 156.60). La asignación familiar no cambia porque no se prorratea por días.</t>
  </si>
  <si>
    <t xml:space="preserve">4. Horas extras (caso 3)</t>
  </si>
  <si>
    <t xml:space="preserve">Las horas extras suman S/ 130.00 (62.50 + 67.50) sobre un total de S/ 3,253.00, o sea el 4.00% (exactamente 3.996%) de las remuneraciones.</t>
  </si>
  <si>
    <t xml:space="preserve">5. Con datos reales</t>
  </si>
  <si>
    <t xml:space="preserve">Se toma el sueldo de una oferta laboral publicada (columnas 'Propio' de la hoja Casos, con su enlace y fecha). La fila '% del bruto que llega como neto' da el resultado y se compara con el de dos compañeros.</t>
  </si>
  <si>
    <t xml:space="preserve">Tabla de fuentes</t>
  </si>
  <si>
    <t xml:space="preserve">Dato</t>
  </si>
  <si>
    <t xml:space="preserve">RMV</t>
  </si>
  <si>
    <t xml:space="preserve">S/ 1,230.00</t>
  </si>
  <si>
    <t xml:space="preserve">D.S. N.º 015-2026-TR, El Peruano (28/09/2026), vigente desde 01/10/2026</t>
  </si>
  <si>
    <t xml:space="preserve">10% de la RMV = S/ 123.00</t>
  </si>
  <si>
    <t xml:space="preserve">13%</t>
  </si>
  <si>
    <t xml:space="preserve">9%</t>
  </si>
  <si>
    <t xml:space="preserve">Horas extras</t>
  </si>
  <si>
    <t xml:space="preserve">25% / 35%</t>
  </si>
  <si>
    <t xml:space="preserve">Normas de jornada y sobretiempo (TUO D.S. 007-2002-TR)</t>
  </si>
  <si>
    <t xml:space="preserve">Formato de boleta</t>
  </si>
  <si>
    <t xml:space="preserve">3 bloques + neto</t>
  </si>
  <si>
    <t xml:space="preserve">Art. 19 del D.S. 001-98-TR</t>
  </si>
  <si>
    <t xml:space="preserve">Tasas AFP (Habitat, Integra, Prima, Profuturo)</t>
  </si>
  <si>
    <t xml:space="preserve">Fondo 10%; comisión 1.47% / 1.55% / 1.60% / 1.69%; seguro 1.37%</t>
  </si>
  <si>
    <t xml:space="preserve">SBS – Comisiones y primas del SPP, devengue oct-2026 (sbs.gob.pe), contrastado con buk.pe/blog/tasas-afp</t>
  </si>
  <si>
    <t xml:space="preserve">10% / 1.60% / 1.35%</t>
  </si>
  <si>
    <t xml:space="preserve">Enunciado del tema (solo casos de prueba)</t>
  </si>
  <si>
    <t xml:space="preserve">UIT 2026</t>
  </si>
  <si>
    <t xml:space="preserve">S/ 5,500</t>
  </si>
  <si>
    <t xml:space="preserve">Deducción y tramos de renta 5.ª</t>
  </si>
  <si>
    <t xml:space="preserve">7 UIT; 8% / 14% / 17% / 20% / 30%</t>
  </si>
  <si>
    <t xml:space="preserve">Arts. 46 y 53 de la Ley del Impuesto a la Renta</t>
  </si>
  <si>
    <t xml:space="preserve">Gratificaciones y bonificación</t>
  </si>
  <si>
    <t xml:space="preserve">2 al año; 9%</t>
  </si>
  <si>
    <t xml:space="preserve">Ley 27735 y Ley 30334</t>
  </si>
  <si>
    <t xml:space="preserve">Caso propio · oferta 1</t>
  </si>
  <si>
    <t xml:space="preserve">(pegar enlace de la oferta)</t>
  </si>
  <si>
    <t xml:space="preserve">Caso propio · oferta 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</si>
</sst>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0.00"/>
    <numFmt numFmtId="166" formatCode="0.00%"/>
    <numFmt numFmtId="167" formatCode="0"/>
    <numFmt numFmtId="168" formatCode="0.00"/>
    <numFmt numFmtId="169" formatCode="&quot;sin tope&quot;"/>
    <numFmt numFmtId="170" formatCode="#,##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1230</v>
      </c>
      <c r="C4" s="4" t="s">
        <v>7</v>
      </c>
      <c r="D4" s="4" t="s">
        <v>8</v>
      </c>
    </row>
    <row r="5" customFormat="false" ht="15" hidden="false" customHeight="false" outlineLevel="0" collapsed="false">
      <c r="A5" s="4" t="s">
        <v>9</v>
      </c>
      <c r="B5" s="6" t="n">
        <v>0.1</v>
      </c>
      <c r="C5" s="4" t="s">
        <v>10</v>
      </c>
      <c r="D5" s="4" t="s">
        <v>8</v>
      </c>
    </row>
    <row r="6" customFormat="false" ht="15" hidden="false" customHeight="false" outlineLevel="0" collapsed="false">
      <c r="A6" s="4" t="s">
        <v>11</v>
      </c>
      <c r="B6" s="7" t="n">
        <f aca="false">ROUND(B4*B5,2)</f>
        <v>123</v>
      </c>
      <c r="C6" s="4" t="s">
        <v>12</v>
      </c>
      <c r="D6" s="4" t="s">
        <v>8</v>
      </c>
    </row>
    <row r="7" customFormat="false" ht="15" hidden="false" customHeight="false" outlineLevel="0" collapsed="false">
      <c r="A7" s="4" t="s">
        <v>13</v>
      </c>
      <c r="B7" s="8" t="n">
        <v>30</v>
      </c>
      <c r="C7" s="4" t="s">
        <v>14</v>
      </c>
      <c r="D7" s="4" t="s">
        <v>8</v>
      </c>
    </row>
    <row r="8" customFormat="false" ht="15" hidden="false" customHeight="false" outlineLevel="0" collapsed="false">
      <c r="A8" s="4" t="s">
        <v>15</v>
      </c>
      <c r="B8" s="8" t="n">
        <v>8</v>
      </c>
      <c r="C8" s="4" t="s">
        <v>16</v>
      </c>
      <c r="D8" s="4" t="s">
        <v>8</v>
      </c>
    </row>
    <row r="9" customFormat="false" ht="15" hidden="false" customHeight="false" outlineLevel="0" collapsed="false">
      <c r="A9" s="4" t="s">
        <v>17</v>
      </c>
      <c r="B9" s="9" t="n">
        <v>1.25</v>
      </c>
      <c r="C9" s="4" t="s">
        <v>18</v>
      </c>
      <c r="D9" s="4" t="s">
        <v>8</v>
      </c>
    </row>
    <row r="10" customFormat="false" ht="15" hidden="false" customHeight="false" outlineLevel="0" collapsed="false">
      <c r="A10" s="4" t="s">
        <v>19</v>
      </c>
      <c r="B10" s="9" t="n">
        <v>1.35</v>
      </c>
      <c r="C10" s="4" t="s">
        <v>20</v>
      </c>
      <c r="D10" s="4" t="s">
        <v>8</v>
      </c>
    </row>
    <row r="11" customFormat="false" ht="15" hidden="false" customHeight="false" outlineLevel="0" collapsed="false">
      <c r="A11" s="4" t="s">
        <v>21</v>
      </c>
      <c r="B11" s="6" t="n">
        <v>0.13</v>
      </c>
      <c r="C11" s="4" t="s">
        <v>22</v>
      </c>
      <c r="D11" s="4" t="s">
        <v>8</v>
      </c>
    </row>
    <row r="12" customFormat="false" ht="15" hidden="false" customHeight="false" outlineLevel="0" collapsed="false">
      <c r="A12" s="4" t="s">
        <v>23</v>
      </c>
      <c r="B12" s="6" t="n">
        <v>0.09</v>
      </c>
      <c r="C12" s="4" t="s">
        <v>24</v>
      </c>
      <c r="D12" s="4" t="s">
        <v>8</v>
      </c>
    </row>
    <row r="15" customFormat="false" ht="15" hidden="false" customHeight="false" outlineLevel="0" collapsed="false">
      <c r="A15" s="10" t="s">
        <v>25</v>
      </c>
    </row>
    <row r="16" customFormat="false" ht="26.85" hidden="false" customHeight="false" outlineLevel="0" collapsed="false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4</v>
      </c>
      <c r="F16" s="3" t="s">
        <v>5</v>
      </c>
    </row>
    <row r="17" customFormat="false" ht="15" hidden="false" customHeight="false" outlineLevel="0" collapsed="false">
      <c r="A17" s="4" t="s">
        <v>30</v>
      </c>
      <c r="B17" s="6" t="n">
        <v>0.1</v>
      </c>
      <c r="C17" s="6" t="n">
        <v>0.016</v>
      </c>
      <c r="D17" s="6" t="n">
        <v>0.0135</v>
      </c>
      <c r="E17" s="4" t="s">
        <v>31</v>
      </c>
      <c r="F17" s="4" t="s">
        <v>8</v>
      </c>
    </row>
    <row r="18" customFormat="false" ht="15" hidden="false" customHeight="false" outlineLevel="0" collapsed="false">
      <c r="A18" s="4" t="s">
        <v>32</v>
      </c>
      <c r="B18" s="6" t="n">
        <v>0.1</v>
      </c>
      <c r="C18" s="6" t="n">
        <v>0.0147</v>
      </c>
      <c r="D18" s="6" t="n">
        <v>0.0137</v>
      </c>
      <c r="E18" s="4" t="s">
        <v>33</v>
      </c>
      <c r="F18" s="4" t="s">
        <v>8</v>
      </c>
    </row>
    <row r="19" customFormat="false" ht="15" hidden="false" customHeight="false" outlineLevel="0" collapsed="false">
      <c r="A19" s="4" t="s">
        <v>34</v>
      </c>
      <c r="B19" s="6" t="n">
        <v>0.1</v>
      </c>
      <c r="C19" s="6" t="n">
        <v>0.0155</v>
      </c>
      <c r="D19" s="6" t="n">
        <v>0.0137</v>
      </c>
      <c r="E19" s="4" t="s">
        <v>33</v>
      </c>
      <c r="F19" s="4" t="s">
        <v>8</v>
      </c>
    </row>
    <row r="20" customFormat="false" ht="15" hidden="false" customHeight="false" outlineLevel="0" collapsed="false">
      <c r="A20" s="4" t="s">
        <v>35</v>
      </c>
      <c r="B20" s="6" t="n">
        <v>0.1</v>
      </c>
      <c r="C20" s="6" t="n">
        <v>0.016</v>
      </c>
      <c r="D20" s="6" t="n">
        <v>0.0137</v>
      </c>
      <c r="E20" s="4" t="s">
        <v>33</v>
      </c>
      <c r="F20" s="4" t="s">
        <v>8</v>
      </c>
    </row>
    <row r="21" customFormat="false" ht="15" hidden="false" customHeight="false" outlineLevel="0" collapsed="false">
      <c r="A21" s="4" t="s">
        <v>36</v>
      </c>
      <c r="B21" s="6" t="n">
        <v>0.1</v>
      </c>
      <c r="C21" s="6" t="n">
        <v>0.0169</v>
      </c>
      <c r="D21" s="6" t="n">
        <v>0.0137</v>
      </c>
      <c r="E21" s="4" t="s">
        <v>33</v>
      </c>
      <c r="F21" s="4" t="s">
        <v>8</v>
      </c>
    </row>
    <row r="23" customFormat="false" ht="15" hidden="false" customHeight="false" outlineLevel="0" collapsed="false">
      <c r="A23" s="2" t="s">
        <v>37</v>
      </c>
    </row>
    <row r="25" customFormat="false" ht="15" hidden="false" customHeight="false" outlineLevel="0" collapsed="false">
      <c r="A25" s="10" t="s">
        <v>38</v>
      </c>
    </row>
    <row r="26" customFormat="false" ht="26.85" hidden="false" customHeight="false" outlineLevel="0" collapsed="false">
      <c r="A26" s="3" t="s">
        <v>2</v>
      </c>
      <c r="B26" s="3" t="s">
        <v>3</v>
      </c>
      <c r="C26" s="3" t="s">
        <v>4</v>
      </c>
      <c r="D26" s="3" t="s">
        <v>5</v>
      </c>
    </row>
    <row r="27" customFormat="false" ht="15" hidden="false" customHeight="false" outlineLevel="0" collapsed="false">
      <c r="A27" s="4" t="s">
        <v>39</v>
      </c>
      <c r="B27" s="5" t="n">
        <v>5500</v>
      </c>
      <c r="C27" s="4" t="s">
        <v>40</v>
      </c>
      <c r="D27" s="4" t="s">
        <v>8</v>
      </c>
    </row>
    <row r="28" customFormat="false" ht="15" hidden="false" customHeight="false" outlineLevel="0" collapsed="false">
      <c r="A28" s="4" t="s">
        <v>41</v>
      </c>
      <c r="B28" s="8" t="n">
        <v>7</v>
      </c>
      <c r="C28" s="4" t="s">
        <v>42</v>
      </c>
      <c r="D28" s="4" t="s">
        <v>8</v>
      </c>
    </row>
    <row r="29" customFormat="false" ht="15" hidden="false" customHeight="false" outlineLevel="0" collapsed="false">
      <c r="A29" s="4" t="s">
        <v>43</v>
      </c>
      <c r="B29" s="8" t="n">
        <v>12</v>
      </c>
      <c r="C29" s="4" t="s">
        <v>44</v>
      </c>
      <c r="D29" s="4" t="s">
        <v>8</v>
      </c>
    </row>
    <row r="30" customFormat="false" ht="15" hidden="false" customHeight="false" outlineLevel="0" collapsed="false">
      <c r="A30" s="4" t="s">
        <v>45</v>
      </c>
      <c r="B30" s="8" t="n">
        <v>2</v>
      </c>
      <c r="C30" s="4" t="s">
        <v>46</v>
      </c>
      <c r="D30" s="4" t="s">
        <v>8</v>
      </c>
    </row>
    <row r="31" customFormat="false" ht="15" hidden="false" customHeight="false" outlineLevel="0" collapsed="false">
      <c r="A31" s="4" t="s">
        <v>47</v>
      </c>
      <c r="B31" s="6" t="n">
        <v>0.09</v>
      </c>
      <c r="C31" s="4" t="s">
        <v>48</v>
      </c>
      <c r="D31" s="4" t="s">
        <v>8</v>
      </c>
    </row>
    <row r="33" customFormat="false" ht="15" hidden="false" customHeight="false" outlineLevel="0" collapsed="false">
      <c r="A33" s="3" t="s">
        <v>49</v>
      </c>
      <c r="B33" s="3" t="s">
        <v>50</v>
      </c>
      <c r="C33" s="3" t="s">
        <v>51</v>
      </c>
      <c r="D33" s="3" t="s">
        <v>52</v>
      </c>
      <c r="E33" s="3" t="s">
        <v>53</v>
      </c>
      <c r="F33" s="3" t="s">
        <v>4</v>
      </c>
    </row>
    <row r="34" customFormat="false" ht="15" hidden="false" customHeight="false" outlineLevel="0" collapsed="false">
      <c r="A34" s="4" t="s">
        <v>54</v>
      </c>
      <c r="B34" s="7" t="n">
        <v>0</v>
      </c>
      <c r="C34" s="7" t="n">
        <f aca="false">5*UIT</f>
        <v>27500</v>
      </c>
      <c r="D34" s="6" t="n">
        <v>0.08</v>
      </c>
      <c r="E34" s="4" t="s">
        <v>55</v>
      </c>
      <c r="F34" s="4" t="s">
        <v>56</v>
      </c>
    </row>
    <row r="35" customFormat="false" ht="15" hidden="false" customHeight="false" outlineLevel="0" collapsed="false">
      <c r="A35" s="4" t="s">
        <v>57</v>
      </c>
      <c r="B35" s="7" t="n">
        <f aca="false">C34</f>
        <v>27500</v>
      </c>
      <c r="C35" s="7" t="n">
        <f aca="false">20*UIT</f>
        <v>110000</v>
      </c>
      <c r="D35" s="6" t="n">
        <v>0.14</v>
      </c>
      <c r="E35" s="4" t="s">
        <v>58</v>
      </c>
      <c r="F35" s="4" t="s">
        <v>56</v>
      </c>
    </row>
    <row r="36" customFormat="false" ht="15" hidden="false" customHeight="false" outlineLevel="0" collapsed="false">
      <c r="A36" s="4" t="s">
        <v>59</v>
      </c>
      <c r="B36" s="7" t="n">
        <f aca="false">C35</f>
        <v>110000</v>
      </c>
      <c r="C36" s="7" t="n">
        <f aca="false">35*UIT</f>
        <v>192500</v>
      </c>
      <c r="D36" s="6" t="n">
        <v>0.17</v>
      </c>
      <c r="E36" s="4" t="s">
        <v>60</v>
      </c>
      <c r="F36" s="4" t="s">
        <v>56</v>
      </c>
    </row>
    <row r="37" customFormat="false" ht="15" hidden="false" customHeight="false" outlineLevel="0" collapsed="false">
      <c r="A37" s="4" t="s">
        <v>61</v>
      </c>
      <c r="B37" s="7" t="n">
        <f aca="false">C36</f>
        <v>192500</v>
      </c>
      <c r="C37" s="7" t="n">
        <f aca="false">45*UIT</f>
        <v>247500</v>
      </c>
      <c r="D37" s="6" t="n">
        <v>0.2</v>
      </c>
      <c r="E37" s="4" t="s">
        <v>62</v>
      </c>
      <c r="F37" s="4" t="s">
        <v>56</v>
      </c>
    </row>
    <row r="38" customFormat="false" ht="15" hidden="false" customHeight="false" outlineLevel="0" collapsed="false">
      <c r="A38" s="4" t="s">
        <v>63</v>
      </c>
      <c r="B38" s="7" t="n">
        <f aca="false">C37</f>
        <v>247500</v>
      </c>
      <c r="C38" s="11" t="n">
        <v>1000000000000000</v>
      </c>
      <c r="D38" s="6" t="n">
        <v>0.3</v>
      </c>
      <c r="E38" s="4" t="s">
        <v>64</v>
      </c>
      <c r="F38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7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15" hidden="false" customHeight="false" outlineLevel="0" collapsed="false">
      <c r="A3" s="12" t="s">
        <v>67</v>
      </c>
    </row>
    <row r="4" customFormat="false" ht="15" hidden="false" customHeight="false" outlineLevel="0" collapsed="false">
      <c r="A4" s="3"/>
      <c r="B4" s="3" t="s">
        <v>68</v>
      </c>
      <c r="C4" s="3" t="s">
        <v>3</v>
      </c>
      <c r="D4" s="3" t="s">
        <v>69</v>
      </c>
    </row>
    <row r="5" customFormat="false" ht="15" hidden="false" customHeight="false" outlineLevel="0" collapsed="false">
      <c r="B5" s="12" t="s">
        <v>70</v>
      </c>
      <c r="C5" s="13" t="s">
        <v>71</v>
      </c>
      <c r="D5" s="14" t="s">
        <v>72</v>
      </c>
    </row>
    <row r="6" customFormat="false" ht="15" hidden="false" customHeight="false" outlineLevel="0" collapsed="false">
      <c r="B6" s="12" t="s">
        <v>73</v>
      </c>
      <c r="C6" s="15" t="n">
        <v>3000</v>
      </c>
      <c r="D6" s="14" t="s">
        <v>74</v>
      </c>
    </row>
    <row r="7" customFormat="false" ht="15" hidden="false" customHeight="false" outlineLevel="0" collapsed="false">
      <c r="B7" s="12" t="s">
        <v>75</v>
      </c>
      <c r="C7" s="16" t="n">
        <v>30</v>
      </c>
      <c r="D7" s="14" t="s">
        <v>76</v>
      </c>
    </row>
    <row r="8" customFormat="false" ht="15" hidden="false" customHeight="false" outlineLevel="0" collapsed="false">
      <c r="B8" s="12" t="s">
        <v>77</v>
      </c>
      <c r="C8" s="13" t="s">
        <v>78</v>
      </c>
      <c r="D8" s="14" t="s">
        <v>79</v>
      </c>
    </row>
    <row r="9" customFormat="false" ht="15" hidden="false" customHeight="false" outlineLevel="0" collapsed="false">
      <c r="B9" s="12" t="s">
        <v>80</v>
      </c>
      <c r="C9" s="13" t="s">
        <v>26</v>
      </c>
      <c r="D9" s="14" t="s">
        <v>81</v>
      </c>
    </row>
    <row r="10" customFormat="false" ht="15" hidden="false" customHeight="false" outlineLevel="0" collapsed="false">
      <c r="B10" s="12" t="s">
        <v>26</v>
      </c>
      <c r="C10" s="13" t="s">
        <v>30</v>
      </c>
      <c r="D10" s="14" t="s">
        <v>82</v>
      </c>
    </row>
    <row r="11" customFormat="false" ht="15" hidden="false" customHeight="false" outlineLevel="0" collapsed="false">
      <c r="B11" s="12" t="s">
        <v>83</v>
      </c>
      <c r="C11" s="17" t="n">
        <v>4</v>
      </c>
      <c r="D11" s="14" t="s">
        <v>84</v>
      </c>
    </row>
    <row r="12" customFormat="false" ht="15" hidden="false" customHeight="false" outlineLevel="0" collapsed="false">
      <c r="B12" s="12" t="s">
        <v>85</v>
      </c>
      <c r="C12" s="17" t="n">
        <v>4</v>
      </c>
      <c r="D12" s="14" t="s">
        <v>84</v>
      </c>
    </row>
    <row r="13" customFormat="false" ht="15" hidden="false" customHeight="false" outlineLevel="0" collapsed="false">
      <c r="B13" s="12" t="s">
        <v>86</v>
      </c>
      <c r="C13" s="15" t="n">
        <v>200</v>
      </c>
      <c r="D13" s="14" t="s">
        <v>84</v>
      </c>
    </row>
    <row r="14" customFormat="false" ht="15" hidden="false" customHeight="false" outlineLevel="0" collapsed="false">
      <c r="B14" s="12" t="s">
        <v>87</v>
      </c>
      <c r="C14" s="13" t="s">
        <v>88</v>
      </c>
      <c r="D14" s="14" t="s">
        <v>89</v>
      </c>
    </row>
    <row r="16" customFormat="false" ht="15" hidden="false" customHeight="false" outlineLevel="0" collapsed="false">
      <c r="B16" s="10" t="s">
        <v>90</v>
      </c>
      <c r="C16" s="10" t="str">
        <f aca="false">IF(OR(C6&lt;=0,C7&lt;1,C7&gt;30,INT(C7)&lt;&gt;C7,C11&lt;0,C12&lt;0,C13&lt;0),"Datos NO válidos: revisa sueldo (&gt;0), días (1 a 30) y que horas/adelantos no sean negativos","Datos válidos")</f>
        <v>Datos válidos</v>
      </c>
    </row>
    <row r="18" customFormat="false" ht="15" hidden="false" customHeight="false" outlineLevel="0" collapsed="false">
      <c r="A18" s="3" t="s">
        <v>91</v>
      </c>
      <c r="B18" s="3" t="s">
        <v>92</v>
      </c>
      <c r="C18" s="3" t="s">
        <v>93</v>
      </c>
      <c r="D18" s="3" t="s">
        <v>94</v>
      </c>
      <c r="E18" s="3" t="s">
        <v>95</v>
      </c>
    </row>
    <row r="19" customFormat="false" ht="15" hidden="false" customHeight="false" outlineLevel="0" collapsed="false">
      <c r="A19" s="10" t="s">
        <v>96</v>
      </c>
      <c r="B19" s="12" t="s">
        <v>97</v>
      </c>
      <c r="C19" s="7" t="n">
        <f aca="false">ROUND(C6*C7/DiasMes,2)</f>
        <v>3000</v>
      </c>
      <c r="D19" s="14" t="str">
        <f aca="false">_xlfn.FORMULATEXT(C19)</f>
        <v>=ROUND(C6*C7/DiasMes,2)</v>
      </c>
      <c r="E19" s="12" t="s">
        <v>98</v>
      </c>
    </row>
    <row r="20" customFormat="false" ht="15" hidden="false" customHeight="false" outlineLevel="0" collapsed="false">
      <c r="A20" s="10"/>
      <c r="B20" s="12" t="s">
        <v>99</v>
      </c>
      <c r="C20" s="7" t="n">
        <f aca="false">IF(C8="Sí",AsigFam,0)</f>
        <v>123</v>
      </c>
      <c r="D20" s="14" t="str">
        <f aca="false">_xlfn.FORMULATEXT(C20)</f>
        <v>=IF(C8="Sí",AsigFam,0)</v>
      </c>
      <c r="E20" s="12" t="s">
        <v>100</v>
      </c>
    </row>
    <row r="21" customFormat="false" ht="15" hidden="false" customHeight="false" outlineLevel="0" collapsed="false">
      <c r="A21" s="10"/>
      <c r="B21" s="12" t="s">
        <v>101</v>
      </c>
      <c r="C21" s="18" t="n">
        <f aca="false">C6/DiasMes/HorasDia</f>
        <v>12.5</v>
      </c>
      <c r="D21" s="14" t="str">
        <f aca="false">_xlfn.FORMULATEXT(C21)</f>
        <v>=C6/DiasMes/HorasDia</v>
      </c>
      <c r="E21" s="12" t="s">
        <v>102</v>
      </c>
    </row>
    <row r="22" customFormat="false" ht="15" hidden="false" customHeight="false" outlineLevel="0" collapsed="false">
      <c r="A22" s="10"/>
      <c r="B22" s="12" t="s">
        <v>103</v>
      </c>
      <c r="C22" s="7" t="n">
        <f aca="false">ROUND(C21*FactorHE25*C11,2)</f>
        <v>62.5</v>
      </c>
      <c r="D22" s="14" t="str">
        <f aca="false">_xlfn.FORMULATEXT(C22)</f>
        <v>=ROUND(C21*FactorHE25*C11,2)</v>
      </c>
      <c r="E22" s="12" t="s">
        <v>104</v>
      </c>
    </row>
    <row r="23" customFormat="false" ht="15" hidden="false" customHeight="false" outlineLevel="0" collapsed="false">
      <c r="A23" s="10"/>
      <c r="B23" s="12" t="s">
        <v>105</v>
      </c>
      <c r="C23" s="7" t="n">
        <f aca="false">ROUND(C21*FactorHE35*C12,2)</f>
        <v>67.5</v>
      </c>
      <c r="D23" s="14" t="str">
        <f aca="false">_xlfn.FORMULATEXT(C23)</f>
        <v>=ROUND(C21*FactorHE35*C12,2)</v>
      </c>
      <c r="E23" s="12" t="s">
        <v>106</v>
      </c>
    </row>
    <row r="24" customFormat="false" ht="15" hidden="false" customHeight="false" outlineLevel="0" collapsed="false">
      <c r="A24" s="10"/>
      <c r="B24" s="19" t="s">
        <v>107</v>
      </c>
      <c r="C24" s="20" t="n">
        <f aca="false">C19+C20+C22+C23</f>
        <v>3253</v>
      </c>
      <c r="D24" s="14" t="str">
        <f aca="false">_xlfn.FORMULATEXT(C24)</f>
        <v>=C19+C20+C22+C23</v>
      </c>
      <c r="E24" s="12" t="s">
        <v>108</v>
      </c>
    </row>
    <row r="26" customFormat="false" ht="15" hidden="false" customHeight="false" outlineLevel="0" collapsed="false">
      <c r="A26" s="10" t="s">
        <v>109</v>
      </c>
      <c r="B26" s="12" t="s">
        <v>110</v>
      </c>
      <c r="C26" s="7" t="n">
        <f aca="false">IF(C9="ONP",ROUND(C24*TasaONP,2),0)</f>
        <v>0</v>
      </c>
      <c r="D26" s="14" t="str">
        <f aca="false">_xlfn.FORMULATEXT(C26)</f>
        <v>=IF(C9="ONP",ROUND(C24*TasaONP,2),0)</v>
      </c>
      <c r="E26" s="12" t="s">
        <v>111</v>
      </c>
    </row>
    <row r="27" customFormat="false" ht="15" hidden="false" customHeight="false" outlineLevel="0" collapsed="false">
      <c r="A27" s="10"/>
      <c r="B27" s="12" t="s">
        <v>112</v>
      </c>
      <c r="C27" s="7" t="n">
        <f aca="false">IF(C9="AFP",ROUND(C24*INDEX(TablaAFP,MATCH(C10,ListaAFP,0),2),2),0)</f>
        <v>325.3</v>
      </c>
      <c r="D27" s="14" t="str">
        <f aca="false">_xlfn.FORMULATEXT(C27)</f>
        <v>=IF(C9="AFP",ROUND(C24*INDEX(TablaAFP,MATCH(C10,ListaAFP,0),2),2),0)</v>
      </c>
      <c r="E27" s="12" t="s">
        <v>113</v>
      </c>
    </row>
    <row r="28" customFormat="false" ht="15" hidden="false" customHeight="false" outlineLevel="0" collapsed="false">
      <c r="A28" s="10"/>
      <c r="B28" s="12" t="s">
        <v>114</v>
      </c>
      <c r="C28" s="7" t="n">
        <f aca="false">IF(C9="AFP",ROUND(C24*INDEX(TablaAFP,MATCH(C10,ListaAFP,0),3),2),0)</f>
        <v>52.05</v>
      </c>
      <c r="D28" s="14" t="str">
        <f aca="false">_xlfn.FORMULATEXT(C28)</f>
        <v>=IF(C9="AFP",ROUND(C24*INDEX(TablaAFP,MATCH(C10,ListaAFP,0),3),2),0)</v>
      </c>
      <c r="E28" s="12" t="s">
        <v>115</v>
      </c>
    </row>
    <row r="29" customFormat="false" ht="15" hidden="false" customHeight="false" outlineLevel="0" collapsed="false">
      <c r="A29" s="10"/>
      <c r="B29" s="12" t="s">
        <v>116</v>
      </c>
      <c r="C29" s="7" t="n">
        <f aca="false">IF(C9="AFP",ROUND(C24*INDEX(TablaAFP,MATCH(C10,ListaAFP,0),4),2),0)</f>
        <v>43.92</v>
      </c>
      <c r="D29" s="14" t="str">
        <f aca="false">_xlfn.FORMULATEXT(C29)</f>
        <v>=IF(C9="AFP",ROUND(C24*INDEX(TablaAFP,MATCH(C10,ListaAFP,0),4),2),0)</v>
      </c>
      <c r="E29" s="12" t="s">
        <v>117</v>
      </c>
    </row>
    <row r="30" customFormat="false" ht="15" hidden="false" customHeight="false" outlineLevel="0" collapsed="false">
      <c r="A30" s="10"/>
      <c r="B30" s="12" t="s">
        <v>118</v>
      </c>
      <c r="C30" s="7" t="n">
        <f aca="false">IF(C14="Sí",C49,0)</f>
        <v>0</v>
      </c>
      <c r="D30" s="14" t="str">
        <f aca="false">_xlfn.FORMULATEXT(C30)</f>
        <v>=IF(C14="Sí",C49,0)</v>
      </c>
      <c r="E30" s="12" t="s">
        <v>119</v>
      </c>
    </row>
    <row r="31" customFormat="false" ht="15" hidden="false" customHeight="false" outlineLevel="0" collapsed="false">
      <c r="A31" s="10"/>
      <c r="B31" s="12" t="s">
        <v>120</v>
      </c>
      <c r="C31" s="7" t="n">
        <f aca="false">ROUND(C13,2)</f>
        <v>200</v>
      </c>
      <c r="D31" s="14" t="str">
        <f aca="false">_xlfn.FORMULATEXT(C31)</f>
        <v>=ROUND(C13,2)</v>
      </c>
      <c r="E31" s="12" t="s">
        <v>121</v>
      </c>
    </row>
    <row r="32" customFormat="false" ht="15" hidden="false" customHeight="false" outlineLevel="0" collapsed="false">
      <c r="A32" s="10"/>
      <c r="B32" s="19" t="s">
        <v>122</v>
      </c>
      <c r="C32" s="20" t="n">
        <f aca="false">SUM(C26:C31)</f>
        <v>621.27</v>
      </c>
      <c r="D32" s="14" t="str">
        <f aca="false">_xlfn.FORMULATEXT(C32)</f>
        <v>=SUM(C26:C31)</v>
      </c>
      <c r="E32" s="12" t="s">
        <v>123</v>
      </c>
    </row>
    <row r="34" customFormat="false" ht="15" hidden="false" customHeight="false" outlineLevel="0" collapsed="false">
      <c r="A34" s="10" t="s">
        <v>124</v>
      </c>
      <c r="B34" s="21" t="s">
        <v>125</v>
      </c>
      <c r="C34" s="22" t="n">
        <f aca="false">C24-C32</f>
        <v>2631.73</v>
      </c>
      <c r="D34" s="14" t="str">
        <f aca="false">_xlfn.FORMULATEXT(C34)</f>
        <v>=C24-C32</v>
      </c>
      <c r="E34" s="12" t="s">
        <v>126</v>
      </c>
    </row>
    <row r="36" customFormat="false" ht="15" hidden="false" customHeight="false" outlineLevel="0" collapsed="false">
      <c r="A36" s="10" t="s">
        <v>127</v>
      </c>
      <c r="B36" s="12" t="s">
        <v>128</v>
      </c>
      <c r="C36" s="7" t="n">
        <f aca="false">ROUND(C24*TasaEsSalud,2)</f>
        <v>292.77</v>
      </c>
      <c r="D36" s="14" t="str">
        <f aca="false">_xlfn.FORMULATEXT(C36)</f>
        <v>=ROUND(C24*TasaEsSalud,2)</v>
      </c>
      <c r="E36" s="12" t="s">
        <v>129</v>
      </c>
    </row>
    <row r="38" customFormat="false" ht="15" hidden="false" customHeight="false" outlineLevel="0" collapsed="false">
      <c r="A38" s="10" t="s">
        <v>130</v>
      </c>
      <c r="B38" s="12" t="s">
        <v>131</v>
      </c>
      <c r="C38" s="7" t="n">
        <f aca="false">C24+C36</f>
        <v>3545.77</v>
      </c>
      <c r="D38" s="14" t="str">
        <f aca="false">_xlfn.FORMULATEXT(C38)</f>
        <v>=C24+C36</v>
      </c>
      <c r="E38" s="12" t="s">
        <v>132</v>
      </c>
    </row>
    <row r="39" customFormat="false" ht="15" hidden="false" customHeight="false" outlineLevel="0" collapsed="false">
      <c r="A39" s="10"/>
      <c r="B39" s="12" t="s">
        <v>133</v>
      </c>
      <c r="C39" s="23" t="n">
        <f aca="false">IF(C24=0,0,C34/C24)</f>
        <v>0.809016292652936</v>
      </c>
      <c r="D39" s="14" t="str">
        <f aca="false">_xlfn.FORMULATEXT(C39)</f>
        <v>=IF(C24=0,0,C34/C24)</v>
      </c>
      <c r="E39" s="12" t="s">
        <v>134</v>
      </c>
    </row>
    <row r="42" customFormat="false" ht="15" hidden="false" customHeight="false" outlineLevel="0" collapsed="false">
      <c r="A42" s="10" t="s">
        <v>135</v>
      </c>
      <c r="B42" s="24" t="s">
        <v>136</v>
      </c>
      <c r="C42" s="25" t="n">
        <f aca="false">ROUND((C6+C20)*NumGratif,2)</f>
        <v>6246</v>
      </c>
      <c r="D42" s="14" t="str">
        <f aca="false">_xlfn.FORMULATEXT(C42)</f>
        <v>=ROUND((C6+C20)*NumGratif,2)</v>
      </c>
      <c r="E42" s="12" t="s">
        <v>137</v>
      </c>
    </row>
    <row r="43" customFormat="false" ht="15" hidden="false" customHeight="false" outlineLevel="0" collapsed="false">
      <c r="A43" s="10"/>
      <c r="B43" s="24" t="s">
        <v>47</v>
      </c>
      <c r="C43" s="25" t="n">
        <f aca="false">ROUND(C42*TasaBonif,2)</f>
        <v>562.14</v>
      </c>
      <c r="D43" s="14" t="str">
        <f aca="false">_xlfn.FORMULATEXT(C43)</f>
        <v>=ROUND(C42*TasaBonif,2)</v>
      </c>
      <c r="E43" s="12" t="s">
        <v>138</v>
      </c>
    </row>
    <row r="44" customFormat="false" ht="15" hidden="false" customHeight="false" outlineLevel="0" collapsed="false">
      <c r="A44" s="10"/>
      <c r="B44" s="24" t="s">
        <v>139</v>
      </c>
      <c r="C44" s="25" t="n">
        <f aca="false">C24*MesesAnio+C42+C43</f>
        <v>45844.14</v>
      </c>
      <c r="D44" s="14" t="str">
        <f aca="false">_xlfn.FORMULATEXT(C44)</f>
        <v>=C24*MesesAnio+C42+C43</v>
      </c>
      <c r="E44" s="12" t="s">
        <v>140</v>
      </c>
    </row>
    <row r="45" customFormat="false" ht="15" hidden="false" customHeight="false" outlineLevel="0" collapsed="false">
      <c r="A45" s="10"/>
      <c r="B45" s="24" t="s">
        <v>141</v>
      </c>
      <c r="C45" s="25" t="n">
        <f aca="false">UITDeduc*UIT</f>
        <v>38500</v>
      </c>
      <c r="D45" s="14" t="str">
        <f aca="false">_xlfn.FORMULATEXT(C45)</f>
        <v>=UITDeduc*UIT</v>
      </c>
      <c r="E45" s="12" t="s">
        <v>142</v>
      </c>
    </row>
    <row r="46" customFormat="false" ht="15" hidden="false" customHeight="false" outlineLevel="0" collapsed="false">
      <c r="A46" s="10"/>
      <c r="B46" s="24" t="s">
        <v>143</v>
      </c>
      <c r="C46" s="25" t="n">
        <f aca="false">MAX(0,C44-C45)</f>
        <v>7344.14</v>
      </c>
      <c r="D46" s="14" t="str">
        <f aca="false">_xlfn.FORMULATEXT(C46)</f>
        <v>=MAX(0,C44-C45)</v>
      </c>
      <c r="E46" s="12" t="s">
        <v>144</v>
      </c>
    </row>
    <row r="47" customFormat="false" ht="15" hidden="false" customHeight="false" outlineLevel="0" collapsed="false">
      <c r="A47" s="10"/>
      <c r="B47" s="24" t="s">
        <v>145</v>
      </c>
      <c r="C47" s="25" t="n">
        <f aca="false">ROUND(SUMPRODUCT(TramoTasa,(C46&gt;TramoDesde)*((C46&lt;TramoHasta)*C46+(C46&gt;=TramoHasta)*TramoHasta-TramoDesde)),2)</f>
        <v>587.53</v>
      </c>
      <c r="D47" s="14" t="str">
        <f aca="false">_xlfn.FORMULATEXT(C47)</f>
        <v>=ROUND(SUMPRODUCT(TramoTasa,(C46&gt;TramoDesde)*((C46&lt;TramoHasta)*C46+(C46&gt;=TramoHasta)*TramoHasta-TramoDesde)),2)</v>
      </c>
      <c r="E47" s="12" t="s">
        <v>146</v>
      </c>
    </row>
    <row r="49" customFormat="false" ht="15" hidden="false" customHeight="false" outlineLevel="0" collapsed="false">
      <c r="A49" s="10"/>
      <c r="B49" s="24" t="s">
        <v>147</v>
      </c>
      <c r="C49" s="25" t="n">
        <f aca="false">ROUND(C47/MesesAnio,2)</f>
        <v>48.96</v>
      </c>
      <c r="D49" s="14" t="str">
        <f aca="false">_xlfn.FORMULATEXT(C49)</f>
        <v>=ROUND(C47/MesesAnio,2)</v>
      </c>
      <c r="E49" s="12" t="s">
        <v>148</v>
      </c>
    </row>
    <row r="51" customFormat="false" ht="15" hidden="false" customHeight="false" outlineLevel="0" collapsed="false">
      <c r="A51" s="10" t="s">
        <v>149</v>
      </c>
      <c r="B51" s="24" t="s">
        <v>150</v>
      </c>
      <c r="C51" s="25" t="n">
        <f aca="false">C34+C27+C28+C29+C26-ROUND(C24*TasaONP,2)</f>
        <v>2630.11</v>
      </c>
      <c r="D51" s="14" t="str">
        <f aca="false">_xlfn.FORMULATEXT(C51)</f>
        <v>=C34+C27+C28+C29+C26-ROUND(C24*TasaONP,2)</v>
      </c>
      <c r="E51" s="12" t="s">
        <v>151</v>
      </c>
    </row>
    <row r="52" customFormat="false" ht="15" hidden="false" customHeight="false" outlineLevel="0" collapsed="false">
      <c r="A52" s="10"/>
      <c r="B52" s="24" t="s">
        <v>152</v>
      </c>
      <c r="C52" s="25" t="n">
        <f aca="false">C34+C26+C27+C28+C29-ROUND(C24*INDEX(TablaAFP,MATCH(C10,ListaAFP,0),2),2)-ROUND(C24*INDEX(TablaAFP,MATCH(C10,ListaAFP,0),3),2)-ROUND(C24*INDEX(TablaAFP,MATCH(C10,ListaAFP,0),4),2)</f>
        <v>2631.73</v>
      </c>
      <c r="D52" s="14" t="str">
        <f aca="false">_xlfn.FORMULATEXT(C52)</f>
        <v>=C34+C26+C27+C28+C29-ROUND(C24*INDEX(TablaAFP,MATCH(C10,ListaAFP,0),2),2)-ROUND(C24*INDEX(TablaAFP,MATCH(C10,ListaAFP,0),3),2)-ROUND(C24*INDEX(TablaAFP,MATCH(C10,ListaAFP,0),4),2)</v>
      </c>
      <c r="E52" s="12" t="s">
        <v>153</v>
      </c>
    </row>
    <row r="53" customFormat="false" ht="15" hidden="false" customHeight="false" outlineLevel="0" collapsed="false">
      <c r="A53" s="10"/>
      <c r="B53" s="24" t="s">
        <v>154</v>
      </c>
      <c r="C53" s="25" t="n">
        <f aca="false">C52-C51</f>
        <v>1.61999999999944</v>
      </c>
      <c r="D53" s="14" t="str">
        <f aca="false">_xlfn.FORMULATEXT(C53)</f>
        <v>=C52-C51</v>
      </c>
      <c r="E53" s="12" t="s">
        <v>155</v>
      </c>
    </row>
  </sheetData>
  <dataValidations count="3">
    <dataValidation allowBlank="false" errorStyle="stop" operator="between" showDropDown="false" showErrorMessage="false" showInputMessage="false" sqref="B7:J7 B13:J13 C14" type="list">
      <formula1>"No,Sí"</formula1>
      <formula2>0</formula2>
    </dataValidation>
    <dataValidation allowBlank="false" errorStyle="stop" operator="between" showDropDown="false" showErrorMessage="false" showInputMessage="false" sqref="B8:J8" type="list">
      <formula1>"ONP,AFP"</formula1>
      <formula2>0</formula2>
    </dataValidation>
    <dataValidation allowBlank="false" errorStyle="stop" operator="between" showDropDown="false" showErrorMessage="false" showInputMessage="false" sqref="B9:J9 C10" type="list">
      <formula1>ListaAFP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9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26.85" hidden="false" customHeight="false" outlineLevel="0" collapsed="false">
      <c r="A4" s="3" t="s">
        <v>92</v>
      </c>
      <c r="B4" s="3" t="s">
        <v>158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163</v>
      </c>
      <c r="H4" s="3" t="s">
        <v>164</v>
      </c>
      <c r="I4" s="3" t="s">
        <v>165</v>
      </c>
      <c r="J4" s="3" t="s">
        <v>166</v>
      </c>
    </row>
    <row r="5" customFormat="false" ht="15" hidden="false" customHeight="false" outlineLevel="0" collapsed="false">
      <c r="A5" s="12" t="s">
        <v>73</v>
      </c>
      <c r="B5" s="15" t="n">
        <v>2500</v>
      </c>
      <c r="C5" s="15" t="n">
        <v>1800</v>
      </c>
      <c r="D5" s="15" t="n">
        <v>3000</v>
      </c>
      <c r="E5" s="15" t="n">
        <v>4200</v>
      </c>
      <c r="F5" s="15" t="n">
        <v>3000</v>
      </c>
      <c r="G5" s="15" t="n">
        <v>1800</v>
      </c>
      <c r="H5" s="15" t="n">
        <v>3000</v>
      </c>
      <c r="I5" s="15"/>
      <c r="J5" s="15"/>
    </row>
    <row r="6" customFormat="false" ht="15" hidden="false" customHeight="false" outlineLevel="0" collapsed="false">
      <c r="A6" s="12" t="s">
        <v>75</v>
      </c>
      <c r="B6" s="13" t="n">
        <v>30</v>
      </c>
      <c r="C6" s="13" t="n">
        <v>27</v>
      </c>
      <c r="D6" s="13" t="n">
        <v>30</v>
      </c>
      <c r="E6" s="13" t="n">
        <v>24</v>
      </c>
      <c r="F6" s="13" t="n">
        <v>30</v>
      </c>
      <c r="G6" s="13" t="n">
        <v>30</v>
      </c>
      <c r="H6" s="13" t="n">
        <v>30</v>
      </c>
      <c r="I6" s="13" t="n">
        <v>30</v>
      </c>
      <c r="J6" s="13" t="n">
        <v>30</v>
      </c>
    </row>
    <row r="7" customFormat="false" ht="15" hidden="false" customHeight="false" outlineLevel="0" collapsed="false">
      <c r="A7" s="12" t="s">
        <v>77</v>
      </c>
      <c r="B7" s="13" t="s">
        <v>88</v>
      </c>
      <c r="C7" s="13" t="s">
        <v>78</v>
      </c>
      <c r="D7" s="13" t="s">
        <v>78</v>
      </c>
      <c r="E7" s="13" t="s">
        <v>78</v>
      </c>
      <c r="F7" s="13" t="s">
        <v>78</v>
      </c>
      <c r="G7" s="13" t="s">
        <v>78</v>
      </c>
      <c r="H7" s="13" t="s">
        <v>78</v>
      </c>
      <c r="I7" s="13" t="s">
        <v>88</v>
      </c>
      <c r="J7" s="13" t="s">
        <v>88</v>
      </c>
    </row>
    <row r="8" customFormat="false" ht="15" hidden="false" customHeight="false" outlineLevel="0" collapsed="false">
      <c r="A8" s="12" t="s">
        <v>167</v>
      </c>
      <c r="B8" s="13" t="s">
        <v>168</v>
      </c>
      <c r="C8" s="13" t="s">
        <v>168</v>
      </c>
      <c r="D8" s="13" t="s">
        <v>26</v>
      </c>
      <c r="E8" s="13" t="s">
        <v>26</v>
      </c>
      <c r="F8" s="13" t="s">
        <v>168</v>
      </c>
      <c r="G8" s="13" t="s">
        <v>168</v>
      </c>
      <c r="H8" s="13" t="s">
        <v>26</v>
      </c>
      <c r="I8" s="13" t="s">
        <v>26</v>
      </c>
      <c r="J8" s="13" t="s">
        <v>168</v>
      </c>
    </row>
    <row r="9" customFormat="false" ht="15" hidden="false" customHeight="false" outlineLevel="0" collapsed="false">
      <c r="A9" s="12" t="s">
        <v>26</v>
      </c>
      <c r="B9" s="13" t="s">
        <v>30</v>
      </c>
      <c r="C9" s="13" t="s">
        <v>30</v>
      </c>
      <c r="D9" s="13" t="s">
        <v>30</v>
      </c>
      <c r="E9" s="13" t="s">
        <v>30</v>
      </c>
      <c r="F9" s="13" t="s">
        <v>30</v>
      </c>
      <c r="G9" s="13" t="s">
        <v>30</v>
      </c>
      <c r="H9" s="13" t="s">
        <v>30</v>
      </c>
      <c r="I9" s="13" t="s">
        <v>35</v>
      </c>
      <c r="J9" s="13" t="s">
        <v>32</v>
      </c>
    </row>
    <row r="10" customFormat="false" ht="15" hidden="false" customHeight="false" outlineLevel="0" collapsed="false">
      <c r="A10" s="12" t="s">
        <v>103</v>
      </c>
      <c r="B10" s="13" t="n">
        <v>0</v>
      </c>
      <c r="C10" s="13" t="n">
        <v>0</v>
      </c>
      <c r="D10" s="13" t="n">
        <v>4</v>
      </c>
      <c r="E10" s="13" t="n">
        <v>2</v>
      </c>
      <c r="F10" s="13" t="n">
        <v>4</v>
      </c>
      <c r="G10" s="13" t="n">
        <v>0</v>
      </c>
      <c r="H10" s="13" t="n">
        <v>4</v>
      </c>
      <c r="I10" s="13" t="n">
        <v>0</v>
      </c>
      <c r="J10" s="13" t="n">
        <v>0</v>
      </c>
    </row>
    <row r="11" customFormat="false" ht="15" hidden="false" customHeight="false" outlineLevel="0" collapsed="false">
      <c r="A11" s="12" t="s">
        <v>105</v>
      </c>
      <c r="B11" s="13" t="n">
        <v>0</v>
      </c>
      <c r="C11" s="13" t="n">
        <v>0</v>
      </c>
      <c r="D11" s="13" t="n">
        <v>4</v>
      </c>
      <c r="E11" s="13" t="n">
        <v>2</v>
      </c>
      <c r="F11" s="13" t="n">
        <v>4</v>
      </c>
      <c r="G11" s="13" t="n">
        <v>0</v>
      </c>
      <c r="H11" s="13" t="n">
        <v>4</v>
      </c>
      <c r="I11" s="13" t="n">
        <v>0</v>
      </c>
      <c r="J11" s="13" t="n">
        <v>0</v>
      </c>
    </row>
    <row r="12" customFormat="false" ht="15" hidden="false" customHeight="false" outlineLevel="0" collapsed="false">
      <c r="A12" s="12" t="s">
        <v>86</v>
      </c>
      <c r="B12" s="15" t="n">
        <v>0</v>
      </c>
      <c r="C12" s="15" t="n">
        <v>0</v>
      </c>
      <c r="D12" s="15" t="n">
        <v>200</v>
      </c>
      <c r="E12" s="15" t="n">
        <v>100</v>
      </c>
      <c r="F12" s="15" t="n">
        <v>200</v>
      </c>
      <c r="G12" s="15" t="n">
        <v>0</v>
      </c>
      <c r="H12" s="15" t="n">
        <v>200</v>
      </c>
      <c r="I12" s="15" t="n">
        <v>0</v>
      </c>
      <c r="J12" s="15" t="n">
        <v>0</v>
      </c>
    </row>
    <row r="13" customFormat="false" ht="15" hidden="false" customHeight="false" outlineLevel="0" collapsed="false">
      <c r="A13" s="12" t="s">
        <v>169</v>
      </c>
      <c r="B13" s="13" t="s">
        <v>88</v>
      </c>
      <c r="C13" s="13" t="s">
        <v>88</v>
      </c>
      <c r="D13" s="13" t="s">
        <v>88</v>
      </c>
      <c r="E13" s="13" t="s">
        <v>88</v>
      </c>
      <c r="F13" s="13" t="s">
        <v>88</v>
      </c>
      <c r="G13" s="13" t="s">
        <v>88</v>
      </c>
      <c r="H13" s="13" t="s">
        <v>78</v>
      </c>
      <c r="I13" s="13" t="s">
        <v>88</v>
      </c>
      <c r="J13" s="13" t="s">
        <v>88</v>
      </c>
    </row>
    <row r="15" customFormat="false" ht="26.85" hidden="false" customHeight="false" outlineLevel="0" collapsed="false">
      <c r="A15" s="3" t="s">
        <v>170</v>
      </c>
      <c r="B15" s="3" t="s">
        <v>158</v>
      </c>
      <c r="C15" s="3" t="s">
        <v>159</v>
      </c>
      <c r="D15" s="3" t="s">
        <v>160</v>
      </c>
      <c r="E15" s="3" t="s">
        <v>161</v>
      </c>
      <c r="F15" s="3" t="s">
        <v>162</v>
      </c>
      <c r="G15" s="3" t="s">
        <v>163</v>
      </c>
      <c r="H15" s="3" t="s">
        <v>164</v>
      </c>
      <c r="I15" s="3" t="s">
        <v>165</v>
      </c>
      <c r="J15" s="3" t="s">
        <v>166</v>
      </c>
    </row>
    <row r="16" customFormat="false" ht="15" hidden="false" customHeight="false" outlineLevel="0" collapsed="false">
      <c r="A16" s="12" t="s">
        <v>97</v>
      </c>
      <c r="B16" s="7" t="n">
        <f aca="false">IF(B$5="","",ROUND(B5*B6/DiasMes,2))</f>
        <v>2500</v>
      </c>
      <c r="C16" s="7" t="n">
        <f aca="false">IF(C$5="","",ROUND(C5*C6/DiasMes,2))</f>
        <v>1620</v>
      </c>
      <c r="D16" s="7" t="n">
        <f aca="false">IF(D$5="","",ROUND(D5*D6/DiasMes,2))</f>
        <v>3000</v>
      </c>
      <c r="E16" s="7" t="n">
        <f aca="false">IF(E$5="","",ROUND(E5*E6/DiasMes,2))</f>
        <v>3360</v>
      </c>
      <c r="F16" s="7" t="n">
        <f aca="false">IF(F$5="","",ROUND(F5*F6/DiasMes,2))</f>
        <v>3000</v>
      </c>
      <c r="G16" s="7" t="n">
        <f aca="false">IF(G$5="","",ROUND(G5*G6/DiasMes,2))</f>
        <v>1800</v>
      </c>
      <c r="H16" s="7" t="n">
        <f aca="false">IF(H$5="","",ROUND(H5*H6/DiasMes,2))</f>
        <v>3000</v>
      </c>
      <c r="I16" s="7" t="str">
        <f aca="false">IF(I$5="","",ROUND(I5*I6/DiasMes,2))</f>
        <v/>
      </c>
      <c r="J16" s="7" t="str">
        <f aca="false">IF(J$5="","",ROUND(J5*J6/DiasMes,2))</f>
        <v/>
      </c>
    </row>
    <row r="17" customFormat="false" ht="15" hidden="false" customHeight="false" outlineLevel="0" collapsed="false">
      <c r="A17" s="12" t="s">
        <v>99</v>
      </c>
      <c r="B17" s="7" t="n">
        <f aca="false">IF(B$5="","",IF(B7="Sí",AsigFam,0))</f>
        <v>0</v>
      </c>
      <c r="C17" s="7" t="n">
        <f aca="false">IF(C$5="","",IF(C7="Sí",AsigFam,0))</f>
        <v>123</v>
      </c>
      <c r="D17" s="7" t="n">
        <f aca="false">IF(D$5="","",IF(D7="Sí",AsigFam,0))</f>
        <v>123</v>
      </c>
      <c r="E17" s="7" t="n">
        <f aca="false">IF(E$5="","",IF(E7="Sí",AsigFam,0))</f>
        <v>123</v>
      </c>
      <c r="F17" s="7" t="n">
        <f aca="false">IF(F$5="","",IF(F7="Sí",AsigFam,0))</f>
        <v>123</v>
      </c>
      <c r="G17" s="7" t="n">
        <f aca="false">IF(G$5="","",IF(G7="Sí",AsigFam,0))</f>
        <v>123</v>
      </c>
      <c r="H17" s="7" t="n">
        <f aca="false">IF(H$5="","",IF(H7="Sí",AsigFam,0))</f>
        <v>123</v>
      </c>
      <c r="I17" s="7" t="str">
        <f aca="false">IF(I$5="","",IF(I7="Sí",AsigFam,0))</f>
        <v/>
      </c>
      <c r="J17" s="7" t="str">
        <f aca="false">IF(J$5="","",IF(J7="Sí",AsigFam,0))</f>
        <v/>
      </c>
    </row>
    <row r="18" customFormat="false" ht="15" hidden="false" customHeight="false" outlineLevel="0" collapsed="false">
      <c r="A18" s="12" t="s">
        <v>171</v>
      </c>
      <c r="B18" s="18" t="n">
        <f aca="false">IF(B$5="","",B5/DiasMes/HorasDia)</f>
        <v>10.4166666666667</v>
      </c>
      <c r="C18" s="18" t="n">
        <f aca="false">IF(C$5="","",C5/DiasMes/HorasDia)</f>
        <v>7.5</v>
      </c>
      <c r="D18" s="18" t="n">
        <f aca="false">IF(D$5="","",D5/DiasMes/HorasDia)</f>
        <v>12.5</v>
      </c>
      <c r="E18" s="18" t="n">
        <f aca="false">IF(E$5="","",E5/DiasMes/HorasDia)</f>
        <v>17.5</v>
      </c>
      <c r="F18" s="18" t="n">
        <f aca="false">IF(F$5="","",F5/DiasMes/HorasDia)</f>
        <v>12.5</v>
      </c>
      <c r="G18" s="18" t="n">
        <f aca="false">IF(G$5="","",G5/DiasMes/HorasDia)</f>
        <v>7.5</v>
      </c>
      <c r="H18" s="18" t="n">
        <f aca="false">IF(H$5="","",H5/DiasMes/HorasDia)</f>
        <v>12.5</v>
      </c>
      <c r="I18" s="18" t="str">
        <f aca="false">IF(I$5="","",I5/DiasMes/HorasDia)</f>
        <v/>
      </c>
      <c r="J18" s="18" t="str">
        <f aca="false">IF(J$5="","",J5/DiasMes/HorasDia)</f>
        <v/>
      </c>
    </row>
    <row r="19" customFormat="false" ht="15" hidden="false" customHeight="false" outlineLevel="0" collapsed="false">
      <c r="A19" s="12" t="s">
        <v>103</v>
      </c>
      <c r="B19" s="7" t="n">
        <f aca="false">IF(B$5="","",ROUND(B18*FactorHE25*B10,2))</f>
        <v>0</v>
      </c>
      <c r="C19" s="7" t="n">
        <f aca="false">IF(C$5="","",ROUND(C18*FactorHE25*C10,2))</f>
        <v>0</v>
      </c>
      <c r="D19" s="7" t="n">
        <f aca="false">IF(D$5="","",ROUND(D18*FactorHE25*D10,2))</f>
        <v>62.5</v>
      </c>
      <c r="E19" s="7" t="n">
        <f aca="false">IF(E$5="","",ROUND(E18*FactorHE25*E10,2))</f>
        <v>43.75</v>
      </c>
      <c r="F19" s="7" t="n">
        <f aca="false">IF(F$5="","",ROUND(F18*FactorHE25*F10,2))</f>
        <v>62.5</v>
      </c>
      <c r="G19" s="7" t="n">
        <f aca="false">IF(G$5="","",ROUND(G18*FactorHE25*G10,2))</f>
        <v>0</v>
      </c>
      <c r="H19" s="7" t="n">
        <f aca="false">IF(H$5="","",ROUND(H18*FactorHE25*H10,2))</f>
        <v>62.5</v>
      </c>
      <c r="I19" s="7" t="str">
        <f aca="false">IF(I$5="","",ROUND(I18*FactorHE25*I10,2))</f>
        <v/>
      </c>
      <c r="J19" s="7" t="str">
        <f aca="false">IF(J$5="","",ROUND(J18*FactorHE25*J10,2))</f>
        <v/>
      </c>
    </row>
    <row r="20" customFormat="false" ht="15" hidden="false" customHeight="false" outlineLevel="0" collapsed="false">
      <c r="A20" s="12" t="s">
        <v>105</v>
      </c>
      <c r="B20" s="7" t="n">
        <f aca="false">IF(B$5="","",ROUND(B18*FactorHE35*B11,2))</f>
        <v>0</v>
      </c>
      <c r="C20" s="7" t="n">
        <f aca="false">IF(C$5="","",ROUND(C18*FactorHE35*C11,2))</f>
        <v>0</v>
      </c>
      <c r="D20" s="7" t="n">
        <f aca="false">IF(D$5="","",ROUND(D18*FactorHE35*D11,2))</f>
        <v>67.5</v>
      </c>
      <c r="E20" s="7" t="n">
        <f aca="false">IF(E$5="","",ROUND(E18*FactorHE35*E11,2))</f>
        <v>47.25</v>
      </c>
      <c r="F20" s="7" t="n">
        <f aca="false">IF(F$5="","",ROUND(F18*FactorHE35*F11,2))</f>
        <v>67.5</v>
      </c>
      <c r="G20" s="7" t="n">
        <f aca="false">IF(G$5="","",ROUND(G18*FactorHE35*G11,2))</f>
        <v>0</v>
      </c>
      <c r="H20" s="7" t="n">
        <f aca="false">IF(H$5="","",ROUND(H18*FactorHE35*H11,2))</f>
        <v>67.5</v>
      </c>
      <c r="I20" s="7" t="str">
        <f aca="false">IF(I$5="","",ROUND(I18*FactorHE35*I11,2))</f>
        <v/>
      </c>
      <c r="J20" s="7" t="str">
        <f aca="false">IF(J$5="","",ROUND(J18*FactorHE35*J11,2))</f>
        <v/>
      </c>
    </row>
    <row r="21" customFormat="false" ht="15" hidden="false" customHeight="false" outlineLevel="0" collapsed="false">
      <c r="A21" s="10" t="s">
        <v>107</v>
      </c>
      <c r="B21" s="20" t="n">
        <f aca="false">IF(B$5="","",B16+B17+B19+B20)</f>
        <v>2500</v>
      </c>
      <c r="C21" s="20" t="n">
        <f aca="false">IF(C$5="","",C16+C17+C19+C20)</f>
        <v>1743</v>
      </c>
      <c r="D21" s="20" t="n">
        <f aca="false">IF(D$5="","",D16+D17+D19+D20)</f>
        <v>3253</v>
      </c>
      <c r="E21" s="20" t="n">
        <f aca="false">IF(E$5="","",E16+E17+E19+E20)</f>
        <v>3574</v>
      </c>
      <c r="F21" s="20" t="n">
        <f aca="false">IF(F$5="","",F16+F17+F19+F20)</f>
        <v>3253</v>
      </c>
      <c r="G21" s="20" t="n">
        <f aca="false">IF(G$5="","",G16+G17+G19+G20)</f>
        <v>1923</v>
      </c>
      <c r="H21" s="20" t="n">
        <f aca="false">IF(H$5="","",H16+H17+H19+H20)</f>
        <v>3253</v>
      </c>
      <c r="I21" s="20" t="str">
        <f aca="false">IF(I$5="","",I16+I17+I19+I20)</f>
        <v/>
      </c>
      <c r="J21" s="20" t="str">
        <f aca="false">IF(J$5="","",J16+J17+J19+J20)</f>
        <v/>
      </c>
    </row>
    <row r="22" customFormat="false" ht="15" hidden="false" customHeight="false" outlineLevel="0" collapsed="false">
      <c r="A22" s="12" t="s">
        <v>168</v>
      </c>
      <c r="B22" s="7" t="n">
        <f aca="false">IF(B$5="","",IF(B8="ONP",ROUND(B21*TasaONP,2),0))</f>
        <v>325</v>
      </c>
      <c r="C22" s="7" t="n">
        <f aca="false">IF(C$5="","",IF(C8="ONP",ROUND(C21*TasaONP,2),0))</f>
        <v>226.59</v>
      </c>
      <c r="D22" s="7" t="n">
        <f aca="false">IF(D$5="","",IF(D8="ONP",ROUND(D21*TasaONP,2),0))</f>
        <v>0</v>
      </c>
      <c r="E22" s="7" t="n">
        <f aca="false">IF(E$5="","",IF(E8="ONP",ROUND(E21*TasaONP,2),0))</f>
        <v>0</v>
      </c>
      <c r="F22" s="7" t="n">
        <f aca="false">IF(F$5="","",IF(F8="ONP",ROUND(F21*TasaONP,2),0))</f>
        <v>422.89</v>
      </c>
      <c r="G22" s="7" t="n">
        <f aca="false">IF(G$5="","",IF(G8="ONP",ROUND(G21*TasaONP,2),0))</f>
        <v>249.99</v>
      </c>
      <c r="H22" s="7" t="n">
        <f aca="false">IF(H$5="","",IF(H8="ONP",ROUND(H21*TasaONP,2),0))</f>
        <v>0</v>
      </c>
      <c r="I22" s="7" t="str">
        <f aca="false">IF(I$5="","",IF(I8="ONP",ROUND(I21*TasaONP,2),0))</f>
        <v/>
      </c>
      <c r="J22" s="7" t="str">
        <f aca="false">IF(J$5="","",IF(J8="ONP",ROUND(J21*TasaONP,2),0))</f>
        <v/>
      </c>
    </row>
    <row r="23" customFormat="false" ht="15" hidden="false" customHeight="false" outlineLevel="0" collapsed="false">
      <c r="A23" s="12" t="s">
        <v>112</v>
      </c>
      <c r="B23" s="7" t="n">
        <f aca="false">IF(B$5="","",IF(B8="AFP",ROUND(B21*INDEX(TablaAFP,MATCH(B9,ListaAFP,0),2),2),0))</f>
        <v>0</v>
      </c>
      <c r="C23" s="7" t="n">
        <f aca="false">IF(C$5="","",IF(C8="AFP",ROUND(C21*INDEX(TablaAFP,MATCH(C9,ListaAFP,0),2),2),0))</f>
        <v>0</v>
      </c>
      <c r="D23" s="7" t="n">
        <f aca="false">IF(D$5="","",IF(D8="AFP",ROUND(D21*INDEX(TablaAFP,MATCH(D9,ListaAFP,0),2),2),0))</f>
        <v>325.3</v>
      </c>
      <c r="E23" s="7" t="n">
        <f aca="false">IF(E$5="","",IF(E8="AFP",ROUND(E21*INDEX(TablaAFP,MATCH(E9,ListaAFP,0),2),2),0))</f>
        <v>357.4</v>
      </c>
      <c r="F23" s="7" t="n">
        <f aca="false">IF(F$5="","",IF(F8="AFP",ROUND(F21*INDEX(TablaAFP,MATCH(F9,ListaAFP,0),2),2),0))</f>
        <v>0</v>
      </c>
      <c r="G23" s="7" t="n">
        <f aca="false">IF(G$5="","",IF(G8="AFP",ROUND(G21*INDEX(TablaAFP,MATCH(G9,ListaAFP,0),2),2),0))</f>
        <v>0</v>
      </c>
      <c r="H23" s="7" t="n">
        <f aca="false">IF(H$5="","",IF(H8="AFP",ROUND(H21*INDEX(TablaAFP,MATCH(H9,ListaAFP,0),2),2),0))</f>
        <v>325.3</v>
      </c>
      <c r="I23" s="7" t="str">
        <f aca="false">IF(I$5="","",IF(I8="AFP",ROUND(I21*INDEX(TablaAFP,MATCH(I9,ListaAFP,0),2),2),0))</f>
        <v/>
      </c>
      <c r="J23" s="7" t="str">
        <f aca="false">IF(J$5="","",IF(J8="AFP",ROUND(J21*INDEX(TablaAFP,MATCH(J9,ListaAFP,0),2),2),0))</f>
        <v/>
      </c>
    </row>
    <row r="24" customFormat="false" ht="15" hidden="false" customHeight="false" outlineLevel="0" collapsed="false">
      <c r="A24" s="12" t="s">
        <v>114</v>
      </c>
      <c r="B24" s="7" t="n">
        <f aca="false">IF(B$5="","",IF(B8="AFP",ROUND(B21*INDEX(TablaAFP,MATCH(B9,ListaAFP,0),3),2),0))</f>
        <v>0</v>
      </c>
      <c r="C24" s="7" t="n">
        <f aca="false">IF(C$5="","",IF(C8="AFP",ROUND(C21*INDEX(TablaAFP,MATCH(C9,ListaAFP,0),3),2),0))</f>
        <v>0</v>
      </c>
      <c r="D24" s="7" t="n">
        <f aca="false">IF(D$5="","",IF(D8="AFP",ROUND(D21*INDEX(TablaAFP,MATCH(D9,ListaAFP,0),3),2),0))</f>
        <v>52.05</v>
      </c>
      <c r="E24" s="7" t="n">
        <f aca="false">IF(E$5="","",IF(E8="AFP",ROUND(E21*INDEX(TablaAFP,MATCH(E9,ListaAFP,0),3),2),0))</f>
        <v>57.18</v>
      </c>
      <c r="F24" s="7" t="n">
        <f aca="false">IF(F$5="","",IF(F8="AFP",ROUND(F21*INDEX(TablaAFP,MATCH(F9,ListaAFP,0),3),2),0))</f>
        <v>0</v>
      </c>
      <c r="G24" s="7" t="n">
        <f aca="false">IF(G$5="","",IF(G8="AFP",ROUND(G21*INDEX(TablaAFP,MATCH(G9,ListaAFP,0),3),2),0))</f>
        <v>0</v>
      </c>
      <c r="H24" s="7" t="n">
        <f aca="false">IF(H$5="","",IF(H8="AFP",ROUND(H21*INDEX(TablaAFP,MATCH(H9,ListaAFP,0),3),2),0))</f>
        <v>52.05</v>
      </c>
      <c r="I24" s="7" t="str">
        <f aca="false">IF(I$5="","",IF(I8="AFP",ROUND(I21*INDEX(TablaAFP,MATCH(I9,ListaAFP,0),3),2),0))</f>
        <v/>
      </c>
      <c r="J24" s="7" t="str">
        <f aca="false">IF(J$5="","",IF(J8="AFP",ROUND(J21*INDEX(TablaAFP,MATCH(J9,ListaAFP,0),3),2),0))</f>
        <v/>
      </c>
    </row>
    <row r="25" customFormat="false" ht="15" hidden="false" customHeight="false" outlineLevel="0" collapsed="false">
      <c r="A25" s="12" t="s">
        <v>116</v>
      </c>
      <c r="B25" s="7" t="n">
        <f aca="false">IF(B$5="","",IF(B8="AFP",ROUND(B21*INDEX(TablaAFP,MATCH(B9,ListaAFP,0),4),2),0))</f>
        <v>0</v>
      </c>
      <c r="C25" s="7" t="n">
        <f aca="false">IF(C$5="","",IF(C8="AFP",ROUND(C21*INDEX(TablaAFP,MATCH(C9,ListaAFP,0),4),2),0))</f>
        <v>0</v>
      </c>
      <c r="D25" s="7" t="n">
        <f aca="false">IF(D$5="","",IF(D8="AFP",ROUND(D21*INDEX(TablaAFP,MATCH(D9,ListaAFP,0),4),2),0))</f>
        <v>43.92</v>
      </c>
      <c r="E25" s="7" t="n">
        <f aca="false">IF(E$5="","",IF(E8="AFP",ROUND(E21*INDEX(TablaAFP,MATCH(E9,ListaAFP,0),4),2),0))</f>
        <v>48.25</v>
      </c>
      <c r="F25" s="7" t="n">
        <f aca="false">IF(F$5="","",IF(F8="AFP",ROUND(F21*INDEX(TablaAFP,MATCH(F9,ListaAFP,0),4),2),0))</f>
        <v>0</v>
      </c>
      <c r="G25" s="7" t="n">
        <f aca="false">IF(G$5="","",IF(G8="AFP",ROUND(G21*INDEX(TablaAFP,MATCH(G9,ListaAFP,0),4),2),0))</f>
        <v>0</v>
      </c>
      <c r="H25" s="7" t="n">
        <f aca="false">IF(H$5="","",IF(H8="AFP",ROUND(H21*INDEX(TablaAFP,MATCH(H9,ListaAFP,0),4),2),0))</f>
        <v>43.92</v>
      </c>
      <c r="I25" s="7" t="str">
        <f aca="false">IF(I$5="","",IF(I8="AFP",ROUND(I21*INDEX(TablaAFP,MATCH(I9,ListaAFP,0),4),2),0))</f>
        <v/>
      </c>
      <c r="J25" s="7" t="str">
        <f aca="false">IF(J$5="","",IF(J8="AFP",ROUND(J21*INDEX(TablaAFP,MATCH(J9,ListaAFP,0),4),2),0))</f>
        <v/>
      </c>
    </row>
    <row r="26" customFormat="false" ht="15" hidden="false" customHeight="false" outlineLevel="0" collapsed="false">
      <c r="A26" s="12" t="s">
        <v>172</v>
      </c>
      <c r="B26" s="7" t="n">
        <f aca="false">IF(B$5="","",IF(B13="Sí",B38,0))</f>
        <v>0</v>
      </c>
      <c r="C26" s="7" t="n">
        <f aca="false">IF(C$5="","",IF(C13="Sí",C38,0))</f>
        <v>0</v>
      </c>
      <c r="D26" s="7" t="n">
        <f aca="false">IF(D$5="","",IF(D13="Sí",D38,0))</f>
        <v>0</v>
      </c>
      <c r="E26" s="7" t="n">
        <f aca="false">IF(E$5="","",IF(E13="Sí",E38,0))</f>
        <v>0</v>
      </c>
      <c r="F26" s="7" t="n">
        <f aca="false">IF(F$5="","",IF(F13="Sí",F38,0))</f>
        <v>0</v>
      </c>
      <c r="G26" s="7" t="n">
        <f aca="false">IF(G$5="","",IF(G13="Sí",G38,0))</f>
        <v>0</v>
      </c>
      <c r="H26" s="7" t="n">
        <f aca="false">IF(H$5="","",IF(H13="Sí",H38,0))</f>
        <v>48.96</v>
      </c>
      <c r="I26" s="7" t="str">
        <f aca="false">IF(I$5="","",IF(I13="Sí",I38,0))</f>
        <v/>
      </c>
      <c r="J26" s="7" t="str">
        <f aca="false">IF(J$5="","",IF(J13="Sí",J38,0))</f>
        <v/>
      </c>
    </row>
    <row r="27" customFormat="false" ht="15" hidden="false" customHeight="false" outlineLevel="0" collapsed="false">
      <c r="A27" s="12" t="s">
        <v>120</v>
      </c>
      <c r="B27" s="7" t="n">
        <f aca="false">IF(B$5="","",ROUND(B12,2))</f>
        <v>0</v>
      </c>
      <c r="C27" s="7" t="n">
        <f aca="false">IF(C$5="","",ROUND(C12,2))</f>
        <v>0</v>
      </c>
      <c r="D27" s="7" t="n">
        <f aca="false">IF(D$5="","",ROUND(D12,2))</f>
        <v>200</v>
      </c>
      <c r="E27" s="7" t="n">
        <f aca="false">IF(E$5="","",ROUND(E12,2))</f>
        <v>100</v>
      </c>
      <c r="F27" s="7" t="n">
        <f aca="false">IF(F$5="","",ROUND(F12,2))</f>
        <v>200</v>
      </c>
      <c r="G27" s="7" t="n">
        <f aca="false">IF(G$5="","",ROUND(G12,2))</f>
        <v>0</v>
      </c>
      <c r="H27" s="7" t="n">
        <f aca="false">IF(H$5="","",ROUND(H12,2))</f>
        <v>200</v>
      </c>
      <c r="I27" s="7" t="str">
        <f aca="false">IF(I$5="","",ROUND(I12,2))</f>
        <v/>
      </c>
      <c r="J27" s="7" t="str">
        <f aca="false">IF(J$5="","",ROUND(J12,2))</f>
        <v/>
      </c>
    </row>
    <row r="28" customFormat="false" ht="15" hidden="false" customHeight="false" outlineLevel="0" collapsed="false">
      <c r="A28" s="10" t="s">
        <v>122</v>
      </c>
      <c r="B28" s="20" t="n">
        <f aca="false">IF(B$5="","",SUM(B22:B27))</f>
        <v>325</v>
      </c>
      <c r="C28" s="20" t="n">
        <f aca="false">IF(C$5="","",SUM(C22:C27))</f>
        <v>226.59</v>
      </c>
      <c r="D28" s="20" t="n">
        <f aca="false">IF(D$5="","",SUM(D22:D27))</f>
        <v>621.27</v>
      </c>
      <c r="E28" s="20" t="n">
        <f aca="false">IF(E$5="","",SUM(E22:E27))</f>
        <v>562.83</v>
      </c>
      <c r="F28" s="20" t="n">
        <f aca="false">IF(F$5="","",SUM(F22:F27))</f>
        <v>622.89</v>
      </c>
      <c r="G28" s="20" t="n">
        <f aca="false">IF(G$5="","",SUM(G22:G27))</f>
        <v>249.99</v>
      </c>
      <c r="H28" s="20" t="n">
        <f aca="false">IF(H$5="","",SUM(H22:H27))</f>
        <v>670.23</v>
      </c>
      <c r="I28" s="20" t="str">
        <f aca="false">IF(I$5="","",SUM(I22:I27))</f>
        <v/>
      </c>
      <c r="J28" s="20" t="str">
        <f aca="false">IF(J$5="","",SUM(J22:J27))</f>
        <v/>
      </c>
    </row>
    <row r="29" customFormat="false" ht="15" hidden="false" customHeight="false" outlineLevel="0" collapsed="false">
      <c r="A29" s="10" t="s">
        <v>125</v>
      </c>
      <c r="B29" s="26" t="n">
        <f aca="false">IF(B$5="","",B21-B28)</f>
        <v>2175</v>
      </c>
      <c r="C29" s="26" t="n">
        <f aca="false">IF(C$5="","",C21-C28)</f>
        <v>1516.41</v>
      </c>
      <c r="D29" s="26" t="n">
        <f aca="false">IF(D$5="","",D21-D28)</f>
        <v>2631.73</v>
      </c>
      <c r="E29" s="26" t="n">
        <f aca="false">IF(E$5="","",E21-E28)</f>
        <v>3011.17</v>
      </c>
      <c r="F29" s="26" t="n">
        <f aca="false">IF(F$5="","",F21-F28)</f>
        <v>2630.11</v>
      </c>
      <c r="G29" s="26" t="n">
        <f aca="false">IF(G$5="","",G21-G28)</f>
        <v>1673.01</v>
      </c>
      <c r="H29" s="26" t="n">
        <f aca="false">IF(H$5="","",H21-H28)</f>
        <v>2582.77</v>
      </c>
      <c r="I29" s="26" t="str">
        <f aca="false">IF(I$5="","",I21-I28)</f>
        <v/>
      </c>
      <c r="J29" s="26" t="str">
        <f aca="false">IF(J$5="","",J21-J28)</f>
        <v/>
      </c>
    </row>
    <row r="30" customFormat="false" ht="15" hidden="false" customHeight="false" outlineLevel="0" collapsed="false">
      <c r="A30" s="12" t="s">
        <v>173</v>
      </c>
      <c r="B30" s="7" t="n">
        <f aca="false">IF(B$5="","",ROUND(B21*TasaEsSalud,2))</f>
        <v>225</v>
      </c>
      <c r="C30" s="7" t="n">
        <f aca="false">IF(C$5="","",ROUND(C21*TasaEsSalud,2))</f>
        <v>156.87</v>
      </c>
      <c r="D30" s="7" t="n">
        <f aca="false">IF(D$5="","",ROUND(D21*TasaEsSalud,2))</f>
        <v>292.77</v>
      </c>
      <c r="E30" s="7" t="n">
        <f aca="false">IF(E$5="","",ROUND(E21*TasaEsSalud,2))</f>
        <v>321.66</v>
      </c>
      <c r="F30" s="7" t="n">
        <f aca="false">IF(F$5="","",ROUND(F21*TasaEsSalud,2))</f>
        <v>292.77</v>
      </c>
      <c r="G30" s="7" t="n">
        <f aca="false">IF(G$5="","",ROUND(G21*TasaEsSalud,2))</f>
        <v>173.07</v>
      </c>
      <c r="H30" s="7" t="n">
        <f aca="false">IF(H$5="","",ROUND(H21*TasaEsSalud,2))</f>
        <v>292.77</v>
      </c>
      <c r="I30" s="7" t="str">
        <f aca="false">IF(I$5="","",ROUND(I21*TasaEsSalud,2))</f>
        <v/>
      </c>
      <c r="J30" s="7" t="str">
        <f aca="false">IF(J$5="","",ROUND(J21*TasaEsSalud,2))</f>
        <v/>
      </c>
    </row>
    <row r="31" customFormat="false" ht="15" hidden="false" customHeight="false" outlineLevel="0" collapsed="false">
      <c r="A31" s="12" t="s">
        <v>174</v>
      </c>
      <c r="B31" s="7" t="n">
        <f aca="false">IF(B$5="","",B21+B30)</f>
        <v>2725</v>
      </c>
      <c r="C31" s="7" t="n">
        <f aca="false">IF(C$5="","",C21+C30)</f>
        <v>1899.87</v>
      </c>
      <c r="D31" s="7" t="n">
        <f aca="false">IF(D$5="","",D21+D30)</f>
        <v>3545.77</v>
      </c>
      <c r="E31" s="7" t="n">
        <f aca="false">IF(E$5="","",E21+E30)</f>
        <v>3895.66</v>
      </c>
      <c r="F31" s="7" t="n">
        <f aca="false">IF(F$5="","",F21+F30)</f>
        <v>3545.77</v>
      </c>
      <c r="G31" s="7" t="n">
        <f aca="false">IF(G$5="","",G21+G30)</f>
        <v>2096.07</v>
      </c>
      <c r="H31" s="7" t="n">
        <f aca="false">IF(H$5="","",H21+H30)</f>
        <v>3545.77</v>
      </c>
      <c r="I31" s="7" t="str">
        <f aca="false">IF(I$5="","",I21+I30)</f>
        <v/>
      </c>
      <c r="J31" s="7" t="str">
        <f aca="false">IF(J$5="","",J21+J30)</f>
        <v/>
      </c>
    </row>
    <row r="32" customFormat="false" ht="15" hidden="false" customHeight="false" outlineLevel="0" collapsed="false">
      <c r="A32" s="12" t="s">
        <v>133</v>
      </c>
      <c r="B32" s="23" t="n">
        <f aca="false">IF(B$5="","",IF(B21=0,0,B29/B21))</f>
        <v>0.87</v>
      </c>
      <c r="C32" s="23" t="n">
        <f aca="false">IF(C$5="","",IF(C21=0,0,C29/C21))</f>
        <v>0.87</v>
      </c>
      <c r="D32" s="23" t="n">
        <f aca="false">IF(D$5="","",IF(D21=0,0,D29/D21))</f>
        <v>0.809016292652936</v>
      </c>
      <c r="E32" s="23" t="n">
        <f aca="false">IF(E$5="","",IF(E21=0,0,E29/E21))</f>
        <v>0.842520984890879</v>
      </c>
      <c r="F32" s="23" t="n">
        <f aca="false">IF(F$5="","",IF(F21=0,0,F29/F21))</f>
        <v>0.808518290808485</v>
      </c>
      <c r="G32" s="23" t="n">
        <f aca="false">IF(G$5="","",IF(G21=0,0,G29/G21))</f>
        <v>0.87</v>
      </c>
      <c r="H32" s="23" t="n">
        <f aca="false">IF(H$5="","",IF(H21=0,0,H29/H21))</f>
        <v>0.793965570242853</v>
      </c>
      <c r="I32" s="23" t="str">
        <f aca="false">IF(I$5="","",IF(I21=0,0,I29/I21))</f>
        <v/>
      </c>
      <c r="J32" s="23" t="str">
        <f aca="false">IF(J$5="","",IF(J21=0,0,J29/J21))</f>
        <v/>
      </c>
    </row>
    <row r="33" customFormat="false" ht="15" hidden="false" customHeight="false" outlineLevel="0" collapsed="false">
      <c r="A33" s="12" t="s">
        <v>136</v>
      </c>
      <c r="B33" s="25" t="n">
        <f aca="false">IF(B$5="","",ROUND((B5+B17)*NumGratif,2))</f>
        <v>5000</v>
      </c>
      <c r="C33" s="25" t="n">
        <f aca="false">IF(C$5="","",ROUND((C5+C17)*NumGratif,2))</f>
        <v>3846</v>
      </c>
      <c r="D33" s="25" t="n">
        <f aca="false">IF(D$5="","",ROUND((D5+D17)*NumGratif,2))</f>
        <v>6246</v>
      </c>
      <c r="E33" s="25" t="n">
        <f aca="false">IF(E$5="","",ROUND((E5+E17)*NumGratif,2))</f>
        <v>8646</v>
      </c>
      <c r="F33" s="25" t="n">
        <f aca="false">IF(F$5="","",ROUND((F5+F17)*NumGratif,2))</f>
        <v>6246</v>
      </c>
      <c r="G33" s="25" t="n">
        <f aca="false">IF(G$5="","",ROUND((G5+G17)*NumGratif,2))</f>
        <v>3846</v>
      </c>
      <c r="H33" s="25" t="n">
        <f aca="false">IF(H$5="","",ROUND((H5+H17)*NumGratif,2))</f>
        <v>6246</v>
      </c>
      <c r="I33" s="25" t="str">
        <f aca="false">IF(I$5="","",ROUND((I5+I17)*NumGratif,2))</f>
        <v/>
      </c>
      <c r="J33" s="25" t="str">
        <f aca="false">IF(J$5="","",ROUND((J5+J17)*NumGratif,2))</f>
        <v/>
      </c>
    </row>
    <row r="34" customFormat="false" ht="15" hidden="false" customHeight="false" outlineLevel="0" collapsed="false">
      <c r="A34" s="12" t="s">
        <v>47</v>
      </c>
      <c r="B34" s="25" t="n">
        <f aca="false">IF(B$5="","",ROUND(B33*TasaBonif,2))</f>
        <v>450</v>
      </c>
      <c r="C34" s="25" t="n">
        <f aca="false">IF(C$5="","",ROUND(C33*TasaBonif,2))</f>
        <v>346.14</v>
      </c>
      <c r="D34" s="25" t="n">
        <f aca="false">IF(D$5="","",ROUND(D33*TasaBonif,2))</f>
        <v>562.14</v>
      </c>
      <c r="E34" s="25" t="n">
        <f aca="false">IF(E$5="","",ROUND(E33*TasaBonif,2))</f>
        <v>778.14</v>
      </c>
      <c r="F34" s="25" t="n">
        <f aca="false">IF(F$5="","",ROUND(F33*TasaBonif,2))</f>
        <v>562.14</v>
      </c>
      <c r="G34" s="25" t="n">
        <f aca="false">IF(G$5="","",ROUND(G33*TasaBonif,2))</f>
        <v>346.14</v>
      </c>
      <c r="H34" s="25" t="n">
        <f aca="false">IF(H$5="","",ROUND(H33*TasaBonif,2))</f>
        <v>562.14</v>
      </c>
      <c r="I34" s="25" t="str">
        <f aca="false">IF(I$5="","",ROUND(I33*TasaBonif,2))</f>
        <v/>
      </c>
      <c r="J34" s="25" t="str">
        <f aca="false">IF(J$5="","",ROUND(J33*TasaBonif,2))</f>
        <v/>
      </c>
    </row>
    <row r="35" customFormat="false" ht="15" hidden="false" customHeight="false" outlineLevel="0" collapsed="false">
      <c r="A35" s="12" t="s">
        <v>139</v>
      </c>
      <c r="B35" s="25" t="n">
        <f aca="false">IF(B$5="","",B21*MesesAnio+B33+B34)</f>
        <v>35450</v>
      </c>
      <c r="C35" s="25" t="n">
        <f aca="false">IF(C$5="","",C21*MesesAnio+C33+C34)</f>
        <v>25108.14</v>
      </c>
      <c r="D35" s="25" t="n">
        <f aca="false">IF(D$5="","",D21*MesesAnio+D33+D34)</f>
        <v>45844.14</v>
      </c>
      <c r="E35" s="25" t="n">
        <f aca="false">IF(E$5="","",E21*MesesAnio+E33+E34)</f>
        <v>52312.14</v>
      </c>
      <c r="F35" s="25" t="n">
        <f aca="false">IF(F$5="","",F21*MesesAnio+F33+F34)</f>
        <v>45844.14</v>
      </c>
      <c r="G35" s="25" t="n">
        <f aca="false">IF(G$5="","",G21*MesesAnio+G33+G34)</f>
        <v>27268.14</v>
      </c>
      <c r="H35" s="25" t="n">
        <f aca="false">IF(H$5="","",H21*MesesAnio+H33+H34)</f>
        <v>45844.14</v>
      </c>
      <c r="I35" s="25" t="str">
        <f aca="false">IF(I$5="","",I21*MesesAnio+I33+I34)</f>
        <v/>
      </c>
      <c r="J35" s="25" t="str">
        <f aca="false">IF(J$5="","",J21*MesesAnio+J33+J34)</f>
        <v/>
      </c>
    </row>
    <row r="36" customFormat="false" ht="15" hidden="false" customHeight="false" outlineLevel="0" collapsed="false">
      <c r="A36" s="12" t="s">
        <v>175</v>
      </c>
      <c r="B36" s="25" t="n">
        <f aca="false">IF(B$5="","",MAX(0,B35-UITDeduc*UIT))</f>
        <v>0</v>
      </c>
      <c r="C36" s="25" t="n">
        <f aca="false">IF(C$5="","",MAX(0,C35-UITDeduc*UIT))</f>
        <v>0</v>
      </c>
      <c r="D36" s="25" t="n">
        <f aca="false">IF(D$5="","",MAX(0,D35-UITDeduc*UIT))</f>
        <v>7344.14</v>
      </c>
      <c r="E36" s="25" t="n">
        <f aca="false">IF(E$5="","",MAX(0,E35-UITDeduc*UIT))</f>
        <v>13812.14</v>
      </c>
      <c r="F36" s="25" t="n">
        <f aca="false">IF(F$5="","",MAX(0,F35-UITDeduc*UIT))</f>
        <v>7344.14</v>
      </c>
      <c r="G36" s="25" t="n">
        <f aca="false">IF(G$5="","",MAX(0,G35-UITDeduc*UIT))</f>
        <v>0</v>
      </c>
      <c r="H36" s="25" t="n">
        <f aca="false">IF(H$5="","",MAX(0,H35-UITDeduc*UIT))</f>
        <v>7344.14</v>
      </c>
      <c r="I36" s="25" t="str">
        <f aca="false">IF(I$5="","",MAX(0,I35-UITDeduc*UIT))</f>
        <v/>
      </c>
      <c r="J36" s="25" t="str">
        <f aca="false">IF(J$5="","",MAX(0,J35-UITDeduc*UIT))</f>
        <v/>
      </c>
    </row>
    <row r="37" customFormat="false" ht="15" hidden="false" customHeight="false" outlineLevel="0" collapsed="false">
      <c r="A37" s="12" t="s">
        <v>145</v>
      </c>
      <c r="B37" s="25" t="n">
        <f aca="false">IF(B$5="","",ROUND(SUMPRODUCT(TramoTasa,(B36&gt;TramoDesde)*((B36&lt;TramoHasta)*B36+(B36&gt;=TramoHasta)*TramoHasta-TramoDesde)),2))</f>
        <v>0</v>
      </c>
      <c r="C37" s="25" t="n">
        <f aca="false">IF(C$5="","",ROUND(SUMPRODUCT(TramoTasa,(C36&gt;TramoDesde)*((C36&lt;TramoHasta)*C36+(C36&gt;=TramoHasta)*TramoHasta-TramoDesde)),2))</f>
        <v>0</v>
      </c>
      <c r="D37" s="25" t="n">
        <f aca="false">IF(D$5="","",ROUND(SUMPRODUCT(TramoTasa,(D36&gt;TramoDesde)*((D36&lt;TramoHasta)*D36+(D36&gt;=TramoHasta)*TramoHasta-TramoDesde)),2))</f>
        <v>587.53</v>
      </c>
      <c r="E37" s="25" t="n">
        <f aca="false">IF(E$5="","",ROUND(SUMPRODUCT(TramoTasa,(E36&gt;TramoDesde)*((E36&lt;TramoHasta)*E36+(E36&gt;=TramoHasta)*TramoHasta-TramoDesde)),2))</f>
        <v>1104.97</v>
      </c>
      <c r="F37" s="25" t="n">
        <f aca="false">IF(F$5="","",ROUND(SUMPRODUCT(TramoTasa,(F36&gt;TramoDesde)*((F36&lt;TramoHasta)*F36+(F36&gt;=TramoHasta)*TramoHasta-TramoDesde)),2))</f>
        <v>587.53</v>
      </c>
      <c r="G37" s="25" t="n">
        <f aca="false">IF(G$5="","",ROUND(SUMPRODUCT(TramoTasa,(G36&gt;TramoDesde)*((G36&lt;TramoHasta)*G36+(G36&gt;=TramoHasta)*TramoHasta-TramoDesde)),2))</f>
        <v>0</v>
      </c>
      <c r="H37" s="25" t="n">
        <f aca="false">IF(H$5="","",ROUND(SUMPRODUCT(TramoTasa,(H36&gt;TramoDesde)*((H36&lt;TramoHasta)*H36+(H36&gt;=TramoHasta)*TramoHasta-TramoDesde)),2))</f>
        <v>587.53</v>
      </c>
      <c r="I37" s="25" t="str">
        <f aca="false">IF(I$5="","",ROUND(SUMPRODUCT(TramoTasa,(I36&gt;TramoDesde)*((I36&lt;TramoHasta)*I36+(I36&gt;=TramoHasta)*TramoHasta-TramoDesde)),2))</f>
        <v/>
      </c>
      <c r="J37" s="25" t="str">
        <f aca="false">IF(J$5="","",ROUND(SUMPRODUCT(TramoTasa,(J36&gt;TramoDesde)*((J36&lt;TramoHasta)*J36+(J36&gt;=TramoHasta)*TramoHasta-TramoDesde)),2))</f>
        <v/>
      </c>
    </row>
    <row r="38" customFormat="false" ht="15" hidden="false" customHeight="false" outlineLevel="0" collapsed="false">
      <c r="A38" s="12" t="s">
        <v>176</v>
      </c>
      <c r="B38" s="25" t="n">
        <f aca="false">IF(B$5="","",ROUND(B37/MesesAnio,2))</f>
        <v>0</v>
      </c>
      <c r="C38" s="25" t="n">
        <f aca="false">IF(C$5="","",ROUND(C37/MesesAnio,2))</f>
        <v>0</v>
      </c>
      <c r="D38" s="25" t="n">
        <f aca="false">IF(D$5="","",ROUND(D37/MesesAnio,2))</f>
        <v>48.96</v>
      </c>
      <c r="E38" s="25" t="n">
        <f aca="false">IF(E$5="","",ROUND(E37/MesesAnio,2))</f>
        <v>92.08</v>
      </c>
      <c r="F38" s="25" t="n">
        <f aca="false">IF(F$5="","",ROUND(F37/MesesAnio,2))</f>
        <v>48.96</v>
      </c>
      <c r="G38" s="25" t="n">
        <f aca="false">IF(G$5="","",ROUND(G37/MesesAnio,2))</f>
        <v>0</v>
      </c>
      <c r="H38" s="25" t="n">
        <f aca="false">IF(H$5="","",ROUND(H37/MesesAnio,2))</f>
        <v>48.96</v>
      </c>
      <c r="I38" s="25" t="str">
        <f aca="false">IF(I$5="","",ROUND(I37/MesesAnio,2))</f>
        <v/>
      </c>
      <c r="J38" s="25" t="str">
        <f aca="false">IF(J$5="","",ROUND(J37/MesesAnio,2))</f>
        <v/>
      </c>
    </row>
    <row r="40" customFormat="false" ht="15" hidden="false" customHeight="false" outlineLevel="0" collapsed="false">
      <c r="A40" s="10" t="s">
        <v>177</v>
      </c>
    </row>
    <row r="41" customFormat="false" ht="15" hidden="false" customHeight="false" outlineLevel="0" collapsed="false">
      <c r="A41" s="0" t="s">
        <v>178</v>
      </c>
      <c r="B41" s="27" t="n">
        <v>2175</v>
      </c>
      <c r="C41" s="27" t="n">
        <v>1516.41</v>
      </c>
      <c r="D41" s="27" t="n">
        <v>2631.73</v>
      </c>
      <c r="E41" s="2" t="s">
        <v>179</v>
      </c>
      <c r="F41" s="2" t="s">
        <v>180</v>
      </c>
      <c r="G41" s="2" t="s">
        <v>180</v>
      </c>
      <c r="H41" s="2" t="s">
        <v>180</v>
      </c>
    </row>
    <row r="42" customFormat="false" ht="15" hidden="false" customHeight="false" outlineLevel="0" collapsed="false">
      <c r="A42" s="0" t="s">
        <v>181</v>
      </c>
      <c r="B42" s="28" t="n">
        <f aca="false">B29-B41</f>
        <v>0</v>
      </c>
      <c r="C42" s="28" t="n">
        <f aca="false">C29-C41</f>
        <v>0</v>
      </c>
      <c r="D42" s="28" t="n">
        <f aca="false">D29-D41</f>
        <v>0</v>
      </c>
    </row>
    <row r="43" customFormat="false" ht="15" hidden="false" customHeight="false" outlineLevel="0" collapsed="false">
      <c r="A43" s="0" t="s">
        <v>182</v>
      </c>
      <c r="B43" s="27" t="n">
        <v>2175</v>
      </c>
      <c r="C43" s="27" t="n">
        <v>1516.41</v>
      </c>
      <c r="D43" s="27" t="n">
        <v>2631.73</v>
      </c>
      <c r="E43" s="27" t="n">
        <v>3011.17</v>
      </c>
      <c r="F43" s="27" t="n">
        <v>2630.11</v>
      </c>
      <c r="G43" s="27" t="n">
        <v>1673.01</v>
      </c>
      <c r="H43" s="27" t="n">
        <v>2582.77</v>
      </c>
    </row>
    <row r="44" customFormat="false" ht="15" hidden="false" customHeight="false" outlineLevel="0" collapsed="false">
      <c r="A44" s="0" t="s">
        <v>183</v>
      </c>
      <c r="B44" s="28" t="n">
        <f aca="false">B29-B43</f>
        <v>0</v>
      </c>
      <c r="C44" s="28" t="n">
        <f aca="false">C29-C43</f>
        <v>0</v>
      </c>
      <c r="D44" s="28" t="n">
        <f aca="false">D29-D43</f>
        <v>0</v>
      </c>
      <c r="E44" s="28" t="n">
        <f aca="false">E29-E43</f>
        <v>0</v>
      </c>
      <c r="F44" s="28" t="n">
        <f aca="false">F29-F43</f>
        <v>0</v>
      </c>
      <c r="G44" s="28" t="n">
        <f aca="false">G29-G43</f>
        <v>0</v>
      </c>
      <c r="H44" s="28" t="n">
        <f aca="false">H29-H43</f>
        <v>0</v>
      </c>
    </row>
    <row r="46" customFormat="false" ht="15" hidden="false" customHeight="false" outlineLevel="0" collapsed="false">
      <c r="A46" s="10" t="s">
        <v>184</v>
      </c>
    </row>
    <row r="47" customFormat="false" ht="26.85" hidden="false" customHeight="false" outlineLevel="0" collapsed="false">
      <c r="A47" s="3" t="s">
        <v>185</v>
      </c>
      <c r="B47" s="3" t="s">
        <v>186</v>
      </c>
      <c r="C47" s="3" t="s">
        <v>187</v>
      </c>
      <c r="D47" s="3" t="s">
        <v>188</v>
      </c>
      <c r="E47" s="3" t="s">
        <v>5</v>
      </c>
    </row>
    <row r="48" customFormat="false" ht="15" hidden="false" customHeight="false" outlineLevel="0" collapsed="false">
      <c r="A48" s="12" t="s">
        <v>165</v>
      </c>
      <c r="B48" s="29"/>
      <c r="C48" s="30" t="n">
        <f aca="false">I5</f>
        <v>0</v>
      </c>
      <c r="D48" s="29"/>
      <c r="E48" s="29"/>
    </row>
    <row r="49" customFormat="false" ht="15" hidden="false" customHeight="false" outlineLevel="0" collapsed="false">
      <c r="A49" s="12" t="s">
        <v>166</v>
      </c>
      <c r="B49" s="29"/>
      <c r="C49" s="30" t="n">
        <f aca="false">J5</f>
        <v>0</v>
      </c>
      <c r="D49" s="29"/>
      <c r="E49" s="29"/>
    </row>
  </sheetData>
  <dataValidations count="3">
    <dataValidation allowBlank="false" errorStyle="stop" operator="between" showDropDown="false" showErrorMessage="false" showInputMessage="false" sqref="B7:J7 B13:J13 C14" type="list">
      <formula1>"No,Sí"</formula1>
      <formula2>0</formula2>
    </dataValidation>
    <dataValidation allowBlank="false" errorStyle="stop" operator="between" showDropDown="false" showErrorMessage="false" showInputMessage="false" sqref="B8:J8" type="list">
      <formula1>"ONP,AFP"</formula1>
      <formula2>0</formula2>
    </dataValidation>
    <dataValidation allowBlank="false" errorStyle="stop" operator="between" showDropDown="false" showErrorMessage="false" showInputMessage="false" sqref="B9:J9 C10" type="list">
      <formula1>ListaAFP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189</v>
      </c>
    </row>
    <row r="2" customFormat="false" ht="102.95" hidden="false" customHeight="false" outlineLevel="0" collapsed="false">
      <c r="A2" s="31" t="s">
        <v>190</v>
      </c>
    </row>
    <row r="4" customFormat="false" ht="26.85" hidden="false" customHeight="false" outlineLevel="0" collapsed="false">
      <c r="A4" s="3" t="s">
        <v>92</v>
      </c>
      <c r="B4" s="3" t="s">
        <v>191</v>
      </c>
      <c r="C4" s="3" t="s">
        <v>192</v>
      </c>
      <c r="D4" s="3" t="s">
        <v>193</v>
      </c>
      <c r="E4" s="3" t="s">
        <v>194</v>
      </c>
    </row>
    <row r="5" customFormat="false" ht="39.55" hidden="false" customHeight="false" outlineLevel="0" collapsed="false">
      <c r="A5" s="32" t="s">
        <v>97</v>
      </c>
      <c r="B5" s="33" t="s">
        <v>195</v>
      </c>
      <c r="C5" s="34" t="str">
        <f aca="false">_xlfn.FORMULATEXT(Boleta!C19)</f>
        <v>=ROUND(C6*C7/DiasMes,2)</v>
      </c>
      <c r="D5" s="33" t="s">
        <v>196</v>
      </c>
      <c r="E5" s="35" t="n">
        <f aca="false">Casos!D16</f>
        <v>3000</v>
      </c>
    </row>
    <row r="6" customFormat="false" ht="26.85" hidden="false" customHeight="false" outlineLevel="0" collapsed="false">
      <c r="A6" s="32" t="s">
        <v>99</v>
      </c>
      <c r="B6" s="33" t="s">
        <v>197</v>
      </c>
      <c r="C6" s="34" t="str">
        <f aca="false">_xlfn.FORMULATEXT(Boleta!C20)</f>
        <v>=IF(C8="Sí",AsigFam,0)</v>
      </c>
      <c r="D6" s="33" t="s">
        <v>198</v>
      </c>
      <c r="E6" s="35" t="n">
        <f aca="false">Casos!D17</f>
        <v>123</v>
      </c>
    </row>
    <row r="7" customFormat="false" ht="26.85" hidden="false" customHeight="false" outlineLevel="0" collapsed="false">
      <c r="A7" s="32" t="s">
        <v>171</v>
      </c>
      <c r="B7" s="33" t="s">
        <v>199</v>
      </c>
      <c r="C7" s="34" t="str">
        <f aca="false">_xlfn.FORMULATEXT(Boleta!C21)</f>
        <v>=C6/DiasMes/HorasDia</v>
      </c>
      <c r="D7" s="33" t="s">
        <v>200</v>
      </c>
      <c r="E7" s="36" t="n">
        <f aca="false">Casos!D18</f>
        <v>12.5</v>
      </c>
    </row>
    <row r="8" customFormat="false" ht="26.85" hidden="false" customHeight="false" outlineLevel="0" collapsed="false">
      <c r="A8" s="32" t="s">
        <v>83</v>
      </c>
      <c r="B8" s="33" t="s">
        <v>201</v>
      </c>
      <c r="C8" s="34" t="str">
        <f aca="false">_xlfn.FORMULATEXT(Boleta!C22)</f>
        <v>=ROUND(C21*FactorHE25*C11,2)</v>
      </c>
      <c r="D8" s="33" t="s">
        <v>202</v>
      </c>
      <c r="E8" s="35" t="n">
        <f aca="false">Casos!D19</f>
        <v>62.5</v>
      </c>
    </row>
    <row r="9" customFormat="false" ht="15" hidden="false" customHeight="false" outlineLevel="0" collapsed="false">
      <c r="A9" s="32" t="s">
        <v>85</v>
      </c>
      <c r="B9" s="33" t="s">
        <v>203</v>
      </c>
      <c r="C9" s="34" t="str">
        <f aca="false">_xlfn.FORMULATEXT(Boleta!C23)</f>
        <v>=ROUND(C21*FactorHE35*C12,2)</v>
      </c>
      <c r="D9" s="33" t="s">
        <v>204</v>
      </c>
      <c r="E9" s="35" t="n">
        <f aca="false">Casos!D20</f>
        <v>67.5</v>
      </c>
    </row>
    <row r="10" customFormat="false" ht="15" hidden="false" customHeight="false" outlineLevel="0" collapsed="false">
      <c r="A10" s="32" t="s">
        <v>107</v>
      </c>
      <c r="B10" s="33" t="s">
        <v>205</v>
      </c>
      <c r="C10" s="34" t="str">
        <f aca="false">_xlfn.FORMULATEXT(Boleta!C24)</f>
        <v>=C19+C20+C22+C23</v>
      </c>
      <c r="D10" s="33" t="s">
        <v>206</v>
      </c>
      <c r="E10" s="35" t="n">
        <f aca="false">Casos!D21</f>
        <v>3253</v>
      </c>
    </row>
    <row r="11" customFormat="false" ht="26.85" hidden="false" customHeight="false" outlineLevel="0" collapsed="false">
      <c r="A11" s="32" t="s">
        <v>168</v>
      </c>
      <c r="B11" s="33" t="s">
        <v>207</v>
      </c>
      <c r="C11" s="34" t="str">
        <f aca="false">_xlfn.FORMULATEXT(Boleta!C26)</f>
        <v>=IF(C9="ONP",ROUND(C24*TasaONP,2),0)</v>
      </c>
      <c r="D11" s="33" t="s">
        <v>208</v>
      </c>
      <c r="E11" s="35" t="n">
        <f aca="false">Casos!D22</f>
        <v>0</v>
      </c>
    </row>
    <row r="12" customFormat="false" ht="39.55" hidden="false" customHeight="false" outlineLevel="0" collapsed="false">
      <c r="A12" s="32" t="s">
        <v>112</v>
      </c>
      <c r="B12" s="33" t="s">
        <v>209</v>
      </c>
      <c r="C12" s="34" t="str">
        <f aca="false">_xlfn.FORMULATEXT(Boleta!C27)</f>
        <v>=IF(C9="AFP",ROUND(C24*INDEX(TablaAFP,MATCH(C10,ListaAFP,0),2),2),0)</v>
      </c>
      <c r="D12" s="33" t="s">
        <v>210</v>
      </c>
      <c r="E12" s="35" t="n">
        <f aca="false">Casos!D23</f>
        <v>325.3</v>
      </c>
    </row>
    <row r="13" customFormat="false" ht="39.55" hidden="false" customHeight="false" outlineLevel="0" collapsed="false">
      <c r="A13" s="32" t="s">
        <v>114</v>
      </c>
      <c r="B13" s="33" t="s">
        <v>211</v>
      </c>
      <c r="C13" s="34" t="str">
        <f aca="false">_xlfn.FORMULATEXT(Boleta!C28)</f>
        <v>=IF(C9="AFP",ROUND(C24*INDEX(TablaAFP,MATCH(C10,ListaAFP,0),3),2),0)</v>
      </c>
      <c r="D13" s="33" t="s">
        <v>212</v>
      </c>
      <c r="E13" s="35" t="n">
        <f aca="false">Casos!D24</f>
        <v>52.05</v>
      </c>
    </row>
    <row r="14" customFormat="false" ht="39.55" hidden="false" customHeight="false" outlineLevel="0" collapsed="false">
      <c r="A14" s="32" t="s">
        <v>116</v>
      </c>
      <c r="B14" s="33" t="s">
        <v>213</v>
      </c>
      <c r="C14" s="34" t="str">
        <f aca="false">_xlfn.FORMULATEXT(Boleta!C29)</f>
        <v>=IF(C9="AFP",ROUND(C24*INDEX(TablaAFP,MATCH(C10,ListaAFP,0),4),2),0)</v>
      </c>
      <c r="D14" s="33" t="s">
        <v>214</v>
      </c>
      <c r="E14" s="35" t="n">
        <f aca="false">Casos!D25</f>
        <v>43.92</v>
      </c>
    </row>
    <row r="15" customFormat="false" ht="15" hidden="false" customHeight="false" outlineLevel="0" collapsed="false">
      <c r="A15" s="32" t="s">
        <v>120</v>
      </c>
      <c r="B15" s="33" t="s">
        <v>215</v>
      </c>
      <c r="C15" s="34" t="str">
        <f aca="false">_xlfn.FORMULATEXT(Boleta!C31)</f>
        <v>=ROUND(C13,2)</v>
      </c>
      <c r="D15" s="33" t="s">
        <v>216</v>
      </c>
      <c r="E15" s="35" t="n">
        <f aca="false">Casos!D27</f>
        <v>200</v>
      </c>
    </row>
    <row r="16" customFormat="false" ht="15" hidden="false" customHeight="false" outlineLevel="0" collapsed="false">
      <c r="A16" s="32" t="s">
        <v>122</v>
      </c>
      <c r="B16" s="33" t="s">
        <v>217</v>
      </c>
      <c r="C16" s="34" t="str">
        <f aca="false">_xlfn.FORMULATEXT(Boleta!C32)</f>
        <v>=SUM(C26:C31)</v>
      </c>
      <c r="D16" s="33" t="s">
        <v>218</v>
      </c>
      <c r="E16" s="35" t="n">
        <f aca="false">Casos!D28</f>
        <v>621.27</v>
      </c>
    </row>
    <row r="17" customFormat="false" ht="15" hidden="false" customHeight="false" outlineLevel="0" collapsed="false">
      <c r="A17" s="32" t="s">
        <v>219</v>
      </c>
      <c r="B17" s="33" t="s">
        <v>220</v>
      </c>
      <c r="C17" s="34" t="str">
        <f aca="false">_xlfn.FORMULATEXT(Boleta!C34)</f>
        <v>=C24-C32</v>
      </c>
      <c r="D17" s="33" t="s">
        <v>221</v>
      </c>
      <c r="E17" s="35" t="n">
        <f aca="false">Casos!D29</f>
        <v>2631.73</v>
      </c>
    </row>
    <row r="18" customFormat="false" ht="26.85" hidden="false" customHeight="false" outlineLevel="0" collapsed="false">
      <c r="A18" s="32" t="s">
        <v>222</v>
      </c>
      <c r="B18" s="33" t="s">
        <v>223</v>
      </c>
      <c r="C18" s="34" t="str">
        <f aca="false">_xlfn.FORMULATEXT(Boleta!C36)</f>
        <v>=ROUND(C24*TasaEsSalud,2)</v>
      </c>
      <c r="D18" s="33" t="s">
        <v>224</v>
      </c>
      <c r="E18" s="35" t="n">
        <f aca="false">Casos!D30</f>
        <v>292.77</v>
      </c>
    </row>
    <row r="20" customFormat="false" ht="17.35" hidden="false" customHeight="false" outlineLevel="0" collapsed="false">
      <c r="A20" s="1" t="s">
        <v>225</v>
      </c>
    </row>
    <row r="21" customFormat="false" ht="26.85" hidden="false" customHeight="false" outlineLevel="0" collapsed="false">
      <c r="A21" s="3" t="s">
        <v>226</v>
      </c>
      <c r="B21" s="3" t="s">
        <v>191</v>
      </c>
      <c r="C21" s="3" t="s">
        <v>192</v>
      </c>
      <c r="D21" s="3" t="s">
        <v>193</v>
      </c>
      <c r="E21" s="3" t="s">
        <v>194</v>
      </c>
    </row>
    <row r="22" customFormat="false" ht="26.85" hidden="false" customHeight="false" outlineLevel="0" collapsed="false">
      <c r="A22" s="32" t="s">
        <v>136</v>
      </c>
      <c r="B22" s="33" t="s">
        <v>227</v>
      </c>
      <c r="C22" s="34" t="str">
        <f aca="false">_xlfn.FORMULATEXT(Boleta!C42)</f>
        <v>=ROUND((C6+C20)*NumGratif,2)</v>
      </c>
      <c r="D22" s="33" t="s">
        <v>228</v>
      </c>
      <c r="E22" s="35" t="n">
        <f aca="false">Casos!H33</f>
        <v>6246</v>
      </c>
    </row>
    <row r="23" customFormat="false" ht="26.85" hidden="false" customHeight="false" outlineLevel="0" collapsed="false">
      <c r="A23" s="32" t="s">
        <v>47</v>
      </c>
      <c r="B23" s="33" t="s">
        <v>229</v>
      </c>
      <c r="C23" s="34" t="str">
        <f aca="false">_xlfn.FORMULATEXT(Boleta!C43)</f>
        <v>=ROUND(C42*TasaBonif,2)</v>
      </c>
      <c r="D23" s="33" t="s">
        <v>230</v>
      </c>
      <c r="E23" s="35" t="n">
        <f aca="false">Casos!H34</f>
        <v>562.14</v>
      </c>
    </row>
    <row r="24" customFormat="false" ht="26.85" hidden="false" customHeight="false" outlineLevel="0" collapsed="false">
      <c r="A24" s="32" t="s">
        <v>231</v>
      </c>
      <c r="B24" s="33" t="s">
        <v>232</v>
      </c>
      <c r="C24" s="34" t="str">
        <f aca="false">_xlfn.FORMULATEXT(Boleta!C44)</f>
        <v>=C24*MesesAnio+C42+C43</v>
      </c>
      <c r="D24" s="33" t="s">
        <v>233</v>
      </c>
      <c r="E24" s="35" t="n">
        <f aca="false">Casos!H35</f>
        <v>45844.14</v>
      </c>
    </row>
    <row r="25" customFormat="false" ht="15" hidden="false" customHeight="false" outlineLevel="0" collapsed="false">
      <c r="A25" s="32" t="s">
        <v>234</v>
      </c>
      <c r="B25" s="33" t="s">
        <v>235</v>
      </c>
      <c r="C25" s="34" t="str">
        <f aca="false">_xlfn.FORMULATEXT(Boleta!C46)</f>
        <v>=MAX(0,C44-C45)</v>
      </c>
      <c r="D25" s="33" t="s">
        <v>236</v>
      </c>
      <c r="E25" s="35" t="n">
        <f aca="false">Casos!H36</f>
        <v>7344.14</v>
      </c>
    </row>
    <row r="26" customFormat="false" ht="77.6" hidden="false" customHeight="false" outlineLevel="0" collapsed="false">
      <c r="A26" s="32" t="s">
        <v>145</v>
      </c>
      <c r="B26" s="33" t="s">
        <v>237</v>
      </c>
      <c r="C26" s="34" t="str">
        <f aca="false">_xlfn.FORMULATEXT(Boleta!C47)</f>
        <v>=ROUND(SUMPRODUCT(TramoTasa,(C46&gt;TramoDesde)*((C46&lt;TramoHasta)*C46+(C46&gt;=TramoHasta)*TramoHasta-TramoDesde)),2)</v>
      </c>
      <c r="D26" s="33" t="s">
        <v>238</v>
      </c>
      <c r="E26" s="35" t="n">
        <f aca="false">Casos!H37</f>
        <v>587.53</v>
      </c>
    </row>
    <row r="27" customFormat="false" ht="15" hidden="false" customHeight="false" outlineLevel="0" collapsed="false">
      <c r="A27" s="32" t="s">
        <v>147</v>
      </c>
      <c r="B27" s="33" t="s">
        <v>239</v>
      </c>
      <c r="C27" s="34" t="str">
        <f aca="false">_xlfn.FORMULATEXT(Boleta!C49)</f>
        <v>=ROUND(C47/MesesAnio,2)</v>
      </c>
      <c r="D27" s="33" t="s">
        <v>240</v>
      </c>
      <c r="E27" s="35" t="n">
        <f aca="false">Casos!H38</f>
        <v>48.96</v>
      </c>
    </row>
    <row r="28" customFormat="false" ht="15" hidden="false" customHeight="false" outlineLevel="0" collapsed="false">
      <c r="A28" s="32" t="s">
        <v>241</v>
      </c>
      <c r="B28" s="33" t="s">
        <v>242</v>
      </c>
      <c r="C28" s="34" t="str">
        <f aca="false">_xlfn.FORMULATEXT(Boleta!C34)</f>
        <v>=C24-C32</v>
      </c>
      <c r="D28" s="33" t="s">
        <v>243</v>
      </c>
      <c r="E28" s="35" t="n">
        <f aca="false">Casos!H29</f>
        <v>2582.77</v>
      </c>
    </row>
    <row r="29" customFormat="false" ht="15" hidden="false" customHeight="false" outlineLevel="0" collapsed="false">
      <c r="A29" s="2" t="s">
        <v>244</v>
      </c>
    </row>
    <row r="31" customFormat="false" ht="17.35" hidden="false" customHeight="false" outlineLevel="0" collapsed="false">
      <c r="A31" s="1" t="s">
        <v>245</v>
      </c>
    </row>
    <row r="32" customFormat="false" ht="15" hidden="false" customHeight="false" outlineLevel="0" collapsed="false">
      <c r="A32" s="3" t="s">
        <v>246</v>
      </c>
      <c r="B32" s="3" t="s">
        <v>247</v>
      </c>
      <c r="C32" s="3" t="s">
        <v>248</v>
      </c>
    </row>
    <row r="33" customFormat="false" ht="120" hidden="false" customHeight="true" outlineLevel="0" collapsed="false">
      <c r="A33" s="32" t="s">
        <v>249</v>
      </c>
      <c r="B33" s="33" t="s">
        <v>250</v>
      </c>
      <c r="C33" s="35" t="n">
        <f aca="false">Casos!D29-Casos!F29</f>
        <v>1.61999999999989</v>
      </c>
    </row>
    <row r="34" customFormat="false" ht="120" hidden="false" customHeight="true" outlineLevel="0" collapsed="false">
      <c r="A34" s="32" t="s">
        <v>251</v>
      </c>
      <c r="B34" s="33" t="s">
        <v>252</v>
      </c>
      <c r="C34" s="37" t="n">
        <f aca="false">Casos!D29/Casos!D31</f>
        <v>0.7422167822504</v>
      </c>
    </row>
    <row r="35" customFormat="false" ht="120" hidden="false" customHeight="true" outlineLevel="0" collapsed="false">
      <c r="A35" s="32" t="s">
        <v>253</v>
      </c>
      <c r="B35" s="33" t="s">
        <v>254</v>
      </c>
      <c r="C35" s="35" t="n">
        <f aca="false">Casos!G29-Casos!C29</f>
        <v>156.6</v>
      </c>
    </row>
    <row r="36" customFormat="false" ht="120" hidden="false" customHeight="true" outlineLevel="0" collapsed="false">
      <c r="A36" s="32" t="s">
        <v>255</v>
      </c>
      <c r="B36" s="33" t="s">
        <v>256</v>
      </c>
      <c r="C36" s="37" t="n">
        <f aca="false">(Casos!D19+Casos!D20)/Casos!D21</f>
        <v>0.0399631109744851</v>
      </c>
    </row>
    <row r="37" customFormat="false" ht="120" hidden="false" customHeight="true" outlineLevel="0" collapsed="false">
      <c r="A37" s="32" t="s">
        <v>257</v>
      </c>
      <c r="B37" s="33" t="s">
        <v>258</v>
      </c>
      <c r="C37" s="37" t="str">
        <f aca="false">IF(Casos!I5="","Falta el sueldo",Casos!I32)</f>
        <v>Falta el sueldo</v>
      </c>
    </row>
    <row r="40" customFormat="false" ht="17.35" hidden="false" customHeight="false" outlineLevel="0" collapsed="false">
      <c r="A40" s="1" t="s">
        <v>259</v>
      </c>
    </row>
    <row r="41" customFormat="false" ht="15" hidden="false" customHeight="false" outlineLevel="0" collapsed="false">
      <c r="A41" s="3" t="s">
        <v>260</v>
      </c>
      <c r="B41" s="3" t="s">
        <v>3</v>
      </c>
      <c r="C41" s="3" t="s">
        <v>4</v>
      </c>
      <c r="D41" s="3" t="s">
        <v>5</v>
      </c>
    </row>
    <row r="42" customFormat="false" ht="39.55" hidden="false" customHeight="false" outlineLevel="0" collapsed="false">
      <c r="A42" s="33" t="s">
        <v>261</v>
      </c>
      <c r="B42" s="33" t="s">
        <v>262</v>
      </c>
      <c r="C42" s="33" t="s">
        <v>263</v>
      </c>
      <c r="D42" s="33" t="s">
        <v>8</v>
      </c>
    </row>
    <row r="43" customFormat="false" ht="15" hidden="false" customHeight="false" outlineLevel="0" collapsed="false">
      <c r="A43" s="33" t="s">
        <v>99</v>
      </c>
      <c r="B43" s="33" t="s">
        <v>264</v>
      </c>
      <c r="C43" s="33" t="s">
        <v>10</v>
      </c>
      <c r="D43" s="33" t="s">
        <v>8</v>
      </c>
    </row>
    <row r="44" customFormat="false" ht="15" hidden="false" customHeight="false" outlineLevel="0" collapsed="false">
      <c r="A44" s="33" t="s">
        <v>168</v>
      </c>
      <c r="B44" s="33" t="s">
        <v>265</v>
      </c>
      <c r="C44" s="33" t="s">
        <v>22</v>
      </c>
      <c r="D44" s="33" t="s">
        <v>8</v>
      </c>
    </row>
    <row r="45" customFormat="false" ht="15" hidden="false" customHeight="false" outlineLevel="0" collapsed="false">
      <c r="A45" s="33" t="s">
        <v>222</v>
      </c>
      <c r="B45" s="33" t="s">
        <v>266</v>
      </c>
      <c r="C45" s="33" t="s">
        <v>24</v>
      </c>
      <c r="D45" s="33" t="s">
        <v>8</v>
      </c>
    </row>
    <row r="46" customFormat="false" ht="26.85" hidden="false" customHeight="false" outlineLevel="0" collapsed="false">
      <c r="A46" s="33" t="s">
        <v>267</v>
      </c>
      <c r="B46" s="33" t="s">
        <v>268</v>
      </c>
      <c r="C46" s="33" t="s">
        <v>269</v>
      </c>
      <c r="D46" s="33" t="s">
        <v>8</v>
      </c>
    </row>
    <row r="47" customFormat="false" ht="15" hidden="false" customHeight="false" outlineLevel="0" collapsed="false">
      <c r="A47" s="33" t="s">
        <v>270</v>
      </c>
      <c r="B47" s="33" t="s">
        <v>271</v>
      </c>
      <c r="C47" s="33" t="s">
        <v>272</v>
      </c>
      <c r="D47" s="33" t="s">
        <v>8</v>
      </c>
    </row>
    <row r="48" customFormat="false" ht="52.2" hidden="false" customHeight="false" outlineLevel="0" collapsed="false">
      <c r="A48" s="33" t="s">
        <v>273</v>
      </c>
      <c r="B48" s="33" t="s">
        <v>274</v>
      </c>
      <c r="C48" s="33" t="s">
        <v>275</v>
      </c>
      <c r="D48" s="33" t="s">
        <v>8</v>
      </c>
    </row>
    <row r="49" customFormat="false" ht="26.85" hidden="false" customHeight="false" outlineLevel="0" collapsed="false">
      <c r="A49" s="33" t="s">
        <v>30</v>
      </c>
      <c r="B49" s="33" t="s">
        <v>276</v>
      </c>
      <c r="C49" s="33" t="s">
        <v>277</v>
      </c>
      <c r="D49" s="33" t="s">
        <v>8</v>
      </c>
    </row>
    <row r="50" customFormat="false" ht="15" hidden="false" customHeight="false" outlineLevel="0" collapsed="false">
      <c r="A50" s="33" t="s">
        <v>278</v>
      </c>
      <c r="B50" s="33" t="s">
        <v>279</v>
      </c>
      <c r="C50" s="33" t="s">
        <v>40</v>
      </c>
      <c r="D50" s="33" t="s">
        <v>8</v>
      </c>
    </row>
    <row r="51" customFormat="false" ht="26.85" hidden="false" customHeight="false" outlineLevel="0" collapsed="false">
      <c r="A51" s="33" t="s">
        <v>280</v>
      </c>
      <c r="B51" s="33" t="s">
        <v>281</v>
      </c>
      <c r="C51" s="33" t="s">
        <v>282</v>
      </c>
      <c r="D51" s="33" t="s">
        <v>8</v>
      </c>
    </row>
    <row r="52" customFormat="false" ht="15" hidden="false" customHeight="false" outlineLevel="0" collapsed="false">
      <c r="A52" s="33" t="s">
        <v>283</v>
      </c>
      <c r="B52" s="33" t="s">
        <v>284</v>
      </c>
      <c r="C52" s="33" t="s">
        <v>285</v>
      </c>
      <c r="D52" s="33" t="s">
        <v>8</v>
      </c>
    </row>
    <row r="53" customFormat="false" ht="15" hidden="false" customHeight="false" outlineLevel="0" collapsed="false">
      <c r="A53" s="33" t="s">
        <v>286</v>
      </c>
      <c r="B53" s="38"/>
      <c r="C53" s="38" t="s">
        <v>287</v>
      </c>
      <c r="D53" s="38"/>
    </row>
    <row r="54" customFormat="false" ht="15" hidden="false" customHeight="false" outlineLevel="0" collapsed="false">
      <c r="A54" s="33" t="s">
        <v>288</v>
      </c>
      <c r="B54" s="38"/>
      <c r="C54" s="38" t="s">
        <v>287</v>
      </c>
      <c r="D54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2026-10-29T04:17:20Z</dcterms:created>
  <dc:creator>openpyxl</dc:creator>
  <dc:description/>
  <dc:language>en-US</dc:language>
  <cp:lastModifiedBy/>
  <dcterms:modified xsi:type="dcterms:W3CDTF">2026-10-29T04:17:21Z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